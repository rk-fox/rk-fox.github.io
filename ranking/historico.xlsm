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F7D31F93-8401-455E-92F8-57DEFD9779A3}" xr6:coauthVersionLast="47" xr6:coauthVersionMax="47" xr10:uidLastSave="{00000000-0000-0000-0000-000000000000}"/>
  <bookViews>
    <workbookView xWindow="-120" yWindow="-120" windowWidth="29040" windowHeight="15720" activeTab="2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5" i="3" l="1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<sst xmlns="http://schemas.openxmlformats.org/spreadsheetml/2006/main" count="448" uniqueCount="169">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</sst>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4"/>
  <sheetViews>
    <sheetView topLeftCell="A22" workbookViewId="0">
      <selection activeCell="C43" sqref="C43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31</v>
      </c>
      <c r="B2" t="s">
        <v>32</v>
      </c>
      <c r="C2" s="2">
        <v>4348941254.7987995</v>
      </c>
      <c r="D2">
        <v>1</v>
      </c>
      <c r="E2" t="s">
        <v>66</v>
      </c>
    </row>
    <row r="3" spans="1:5">
      <c r="A3" t="s">
        <v>122</v>
      </c>
      <c r="B3" t="s">
        <v>123</v>
      </c>
      <c r="C3">
        <v>4003797510.1447997</v>
      </c>
      <c r="D3">
        <v>2</v>
      </c>
      <c r="E3" t="s">
        <v>124</v>
      </c>
    </row>
    <row r="4" spans="1:5">
      <c r="A4" s="2" t="s">
        <v>24</v>
      </c>
      <c r="B4" t="s">
        <v>20</v>
      </c>
      <c r="C4" s="2">
        <v>3774782026.3442001</v>
      </c>
      <c r="D4">
        <v>3</v>
      </c>
      <c r="E4" t="s">
        <v>65</v>
      </c>
    </row>
    <row r="5" spans="1:5">
      <c r="A5" s="2" t="s">
        <v>46</v>
      </c>
      <c r="B5" t="s">
        <v>45</v>
      </c>
      <c r="C5" s="2">
        <v>3248375778.1055999</v>
      </c>
      <c r="D5">
        <v>4</v>
      </c>
      <c r="E5" t="s">
        <v>67</v>
      </c>
    </row>
    <row r="6" spans="1:5">
      <c r="A6" s="1" t="s">
        <v>5</v>
      </c>
      <c r="B6" t="s">
        <v>3</v>
      </c>
      <c r="C6" s="2">
        <v>2938825004.5942001</v>
      </c>
      <c r="D6">
        <v>5</v>
      </c>
      <c r="E6" t="s">
        <v>3</v>
      </c>
    </row>
    <row r="7" spans="1:5">
      <c r="A7" s="1" t="s">
        <v>1</v>
      </c>
      <c r="B7" t="s">
        <v>0</v>
      </c>
      <c r="C7" s="2">
        <v>2012790898.28</v>
      </c>
      <c r="D7">
        <v>6</v>
      </c>
      <c r="E7" t="s">
        <v>0</v>
      </c>
    </row>
    <row r="8" spans="1:5">
      <c r="A8" s="2" t="s">
        <v>44</v>
      </c>
      <c r="B8" t="s">
        <v>43</v>
      </c>
      <c r="C8" s="2">
        <v>1979902147.681</v>
      </c>
      <c r="D8">
        <v>7</v>
      </c>
      <c r="E8" t="s">
        <v>43</v>
      </c>
    </row>
    <row r="9" spans="1:5">
      <c r="A9" s="2" t="s">
        <v>48</v>
      </c>
      <c r="B9" s="2" t="s">
        <v>47</v>
      </c>
      <c r="C9" s="2">
        <v>1385755540.3439999</v>
      </c>
      <c r="D9">
        <v>8</v>
      </c>
      <c r="E9" t="s">
        <v>68</v>
      </c>
    </row>
    <row r="10" spans="1:5">
      <c r="A10" t="s">
        <v>141</v>
      </c>
      <c r="B10" t="s">
        <v>142</v>
      </c>
      <c r="C10">
        <v>1284761330.7361</v>
      </c>
      <c r="D10">
        <v>9</v>
      </c>
      <c r="E10" t="s">
        <v>143</v>
      </c>
    </row>
    <row r="11" spans="1:5">
      <c r="A11" s="2" t="s">
        <v>60</v>
      </c>
      <c r="B11" t="s">
        <v>106</v>
      </c>
      <c r="C11" s="2">
        <v>1111689499.0688</v>
      </c>
      <c r="D11">
        <v>10</v>
      </c>
      <c r="E11" t="s">
        <v>59</v>
      </c>
    </row>
    <row r="12" spans="1:5">
      <c r="A12" s="2" t="s">
        <v>50</v>
      </c>
      <c r="B12" t="s">
        <v>49</v>
      </c>
      <c r="C12" s="2">
        <v>821606745.99040008</v>
      </c>
      <c r="D12">
        <v>11</v>
      </c>
      <c r="E12" t="s">
        <v>71</v>
      </c>
    </row>
    <row r="13" spans="1:5">
      <c r="A13" t="s">
        <v>125</v>
      </c>
      <c r="B13" t="s">
        <v>126</v>
      </c>
      <c r="C13">
        <v>811303133.25059998</v>
      </c>
      <c r="D13">
        <v>12</v>
      </c>
      <c r="E13" t="s">
        <v>127</v>
      </c>
    </row>
    <row r="14" spans="1:5">
      <c r="A14" t="s">
        <v>134</v>
      </c>
      <c r="B14" t="s">
        <v>135</v>
      </c>
      <c r="C14">
        <v>800339243.25639999</v>
      </c>
      <c r="D14">
        <v>13</v>
      </c>
      <c r="E14" t="s">
        <v>136</v>
      </c>
    </row>
    <row r="15" spans="1:5">
      <c r="A15" s="3" t="s">
        <v>90</v>
      </c>
      <c r="B15" t="s">
        <v>88</v>
      </c>
      <c r="C15" s="2">
        <v>738436967.85400009</v>
      </c>
      <c r="D15">
        <v>14</v>
      </c>
      <c r="E15" t="s">
        <v>89</v>
      </c>
    </row>
    <row r="16" spans="1:5">
      <c r="A16" s="2" t="s">
        <v>95</v>
      </c>
      <c r="B16" t="s">
        <v>94</v>
      </c>
      <c r="C16" s="2">
        <v>728782445.88909996</v>
      </c>
      <c r="D16">
        <v>15</v>
      </c>
      <c r="E16" t="s">
        <v>137</v>
      </c>
    </row>
    <row r="17" spans="1:5">
      <c r="A17" t="s">
        <v>6</v>
      </c>
      <c r="B17" t="s">
        <v>4</v>
      </c>
      <c r="C17" s="2">
        <v>692615308.15999997</v>
      </c>
      <c r="D17">
        <v>16</v>
      </c>
      <c r="E17" t="s">
        <v>4</v>
      </c>
    </row>
    <row r="18" spans="1:5">
      <c r="A18" s="2" t="s">
        <v>40</v>
      </c>
      <c r="B18" t="s">
        <v>39</v>
      </c>
      <c r="C18" s="2">
        <v>685404425.62129998</v>
      </c>
      <c r="D18">
        <v>17</v>
      </c>
      <c r="E18" t="s">
        <v>69</v>
      </c>
    </row>
    <row r="19" spans="1:5">
      <c r="A19" t="s">
        <v>131</v>
      </c>
      <c r="B19" t="s">
        <v>132</v>
      </c>
      <c r="C19">
        <v>677708779.17080009</v>
      </c>
      <c r="D19">
        <v>18</v>
      </c>
      <c r="E19" t="s">
        <v>133</v>
      </c>
    </row>
    <row r="20" spans="1:5">
      <c r="A20" t="s">
        <v>97</v>
      </c>
      <c r="B20" t="s">
        <v>98</v>
      </c>
      <c r="C20">
        <v>593489065.87600005</v>
      </c>
      <c r="D20">
        <v>19</v>
      </c>
      <c r="E20" t="s">
        <v>99</v>
      </c>
    </row>
    <row r="21" spans="1:5">
      <c r="A21" s="2" t="s">
        <v>29</v>
      </c>
      <c r="B21" t="s">
        <v>27</v>
      </c>
      <c r="C21" s="2">
        <v>589635534.23020005</v>
      </c>
      <c r="D21">
        <v>20</v>
      </c>
      <c r="E21" t="s">
        <v>72</v>
      </c>
    </row>
    <row r="22" spans="1:5">
      <c r="A22" t="s">
        <v>154</v>
      </c>
      <c r="B22" t="s">
        <v>155</v>
      </c>
      <c r="C22">
        <v>556930336.76709998</v>
      </c>
      <c r="D22">
        <v>21</v>
      </c>
      <c r="E22" t="s">
        <v>156</v>
      </c>
    </row>
    <row r="23" spans="1:5">
      <c r="A23" s="2" t="s">
        <v>28</v>
      </c>
      <c r="B23" t="s">
        <v>26</v>
      </c>
      <c r="C23" s="2">
        <v>504636131.2791</v>
      </c>
      <c r="D23">
        <v>22</v>
      </c>
      <c r="E23" t="s">
        <v>70</v>
      </c>
    </row>
    <row r="24" spans="1:5">
      <c r="A24" s="2" t="s">
        <v>93</v>
      </c>
      <c r="B24" t="s">
        <v>91</v>
      </c>
      <c r="C24" s="2">
        <v>486880037.8872</v>
      </c>
      <c r="D24">
        <v>23</v>
      </c>
      <c r="E24" t="s">
        <v>92</v>
      </c>
    </row>
    <row r="25" spans="1:5">
      <c r="A25" t="s">
        <v>107</v>
      </c>
      <c r="B25" t="s">
        <v>108</v>
      </c>
      <c r="C25">
        <v>448339514.95200002</v>
      </c>
      <c r="D25">
        <v>24</v>
      </c>
      <c r="E25" t="s">
        <v>109</v>
      </c>
    </row>
    <row r="26" spans="1:5">
      <c r="A26" t="s">
        <v>144</v>
      </c>
      <c r="B26" t="s">
        <v>150</v>
      </c>
      <c r="C26">
        <v>417445728.44319999</v>
      </c>
      <c r="D26">
        <v>25</v>
      </c>
      <c r="E26" t="s">
        <v>146</v>
      </c>
    </row>
    <row r="27" spans="1:5">
      <c r="A27" t="s">
        <v>110</v>
      </c>
      <c r="B27" t="s">
        <v>111</v>
      </c>
      <c r="C27">
        <v>359936250.26420003</v>
      </c>
      <c r="D27">
        <v>26</v>
      </c>
      <c r="E27" t="s">
        <v>112</v>
      </c>
    </row>
    <row r="28" spans="1:5">
      <c r="A28" s="2" t="s">
        <v>14</v>
      </c>
      <c r="B28" t="s">
        <v>12</v>
      </c>
      <c r="C28" s="2">
        <v>315864384.70749998</v>
      </c>
      <c r="D28">
        <v>27</v>
      </c>
      <c r="E28" t="s">
        <v>73</v>
      </c>
    </row>
    <row r="29" spans="1:5">
      <c r="A29" t="s">
        <v>138</v>
      </c>
      <c r="B29" t="s">
        <v>139</v>
      </c>
      <c r="C29">
        <v>313414608.78100002</v>
      </c>
      <c r="D29">
        <v>28</v>
      </c>
      <c r="E29" t="s">
        <v>140</v>
      </c>
    </row>
    <row r="30" spans="1:5">
      <c r="A30" t="s">
        <v>113</v>
      </c>
      <c r="B30" t="s">
        <v>114</v>
      </c>
      <c r="C30">
        <v>310619299.91360003</v>
      </c>
      <c r="D30">
        <v>29</v>
      </c>
      <c r="E30" t="s">
        <v>115</v>
      </c>
    </row>
    <row r="31" spans="1:5">
      <c r="A31" t="s">
        <v>100</v>
      </c>
      <c r="B31" t="s">
        <v>101</v>
      </c>
      <c r="C31">
        <v>301375587.34799999</v>
      </c>
      <c r="D31">
        <v>30</v>
      </c>
      <c r="E31" t="s">
        <v>102</v>
      </c>
    </row>
    <row r="32" spans="1:5">
      <c r="A32" s="2" t="s">
        <v>23</v>
      </c>
      <c r="B32" t="s">
        <v>18</v>
      </c>
      <c r="C32" s="2">
        <v>238599332.528</v>
      </c>
      <c r="D32">
        <v>31</v>
      </c>
      <c r="E32" t="s">
        <v>78</v>
      </c>
    </row>
    <row r="33" spans="1:5">
      <c r="A33" t="s">
        <v>116</v>
      </c>
      <c r="B33" t="s">
        <v>117</v>
      </c>
      <c r="C33">
        <v>197589322.26839998</v>
      </c>
      <c r="D33">
        <v>32</v>
      </c>
      <c r="E33" t="s">
        <v>118</v>
      </c>
    </row>
    <row r="34" spans="1:5">
      <c r="A34" s="2" t="s">
        <v>37</v>
      </c>
      <c r="B34" t="s">
        <v>38</v>
      </c>
      <c r="C34" s="2">
        <v>194189104.78799999</v>
      </c>
      <c r="D34">
        <v>33</v>
      </c>
      <c r="E34" t="s">
        <v>75</v>
      </c>
    </row>
    <row r="35" spans="1:5">
      <c r="A35" s="2" t="s">
        <v>64</v>
      </c>
      <c r="B35" t="s">
        <v>63</v>
      </c>
      <c r="C35" s="2">
        <v>180090133.9522</v>
      </c>
      <c r="D35">
        <v>34</v>
      </c>
      <c r="E35" t="s">
        <v>76</v>
      </c>
    </row>
    <row r="36" spans="1:5">
      <c r="A36" t="s">
        <v>147</v>
      </c>
      <c r="B36" t="s">
        <v>148</v>
      </c>
      <c r="C36">
        <v>162040547.17699999</v>
      </c>
      <c r="D36">
        <v>35</v>
      </c>
      <c r="E36" t="s">
        <v>149</v>
      </c>
    </row>
    <row r="37" spans="1:5">
      <c r="A37" s="2" t="s">
        <v>15</v>
      </c>
      <c r="B37" t="s">
        <v>11</v>
      </c>
      <c r="C37" s="2">
        <v>154925959.66749999</v>
      </c>
      <c r="D37">
        <v>36</v>
      </c>
      <c r="E37" t="s">
        <v>79</v>
      </c>
    </row>
    <row r="38" spans="1:5">
      <c r="A38" t="s">
        <v>58</v>
      </c>
      <c r="B38" s="2" t="s">
        <v>57</v>
      </c>
      <c r="C38" s="2">
        <v>136433830.55849999</v>
      </c>
      <c r="D38">
        <v>37</v>
      </c>
      <c r="E38" t="s">
        <v>74</v>
      </c>
    </row>
    <row r="39" spans="1:5">
      <c r="A39" s="2" t="s">
        <v>41</v>
      </c>
      <c r="B39" s="2" t="s">
        <v>42</v>
      </c>
      <c r="C39" s="2">
        <v>133819927.1758</v>
      </c>
      <c r="D39">
        <v>38</v>
      </c>
      <c r="E39" t="s">
        <v>77</v>
      </c>
    </row>
    <row r="40" spans="1:5">
      <c r="A40" s="2" t="s">
        <v>52</v>
      </c>
      <c r="B40" s="2" t="s">
        <v>51</v>
      </c>
      <c r="C40" s="2">
        <v>120817594.3212</v>
      </c>
      <c r="D40">
        <v>39</v>
      </c>
      <c r="E40" t="s">
        <v>83</v>
      </c>
    </row>
    <row r="41" spans="1:5">
      <c r="A41" s="2" t="s">
        <v>16</v>
      </c>
      <c r="B41" t="s">
        <v>13</v>
      </c>
      <c r="C41" s="2">
        <v>111604022.464</v>
      </c>
      <c r="D41">
        <v>40</v>
      </c>
      <c r="E41" t="s">
        <v>81</v>
      </c>
    </row>
    <row r="42" spans="1:5">
      <c r="A42" t="s">
        <v>119</v>
      </c>
      <c r="B42" t="s">
        <v>120</v>
      </c>
      <c r="C42">
        <v>104920327.2648</v>
      </c>
      <c r="D42">
        <v>41</v>
      </c>
      <c r="E42" t="s">
        <v>121</v>
      </c>
    </row>
    <row r="43" spans="1:5">
      <c r="A43" t="s">
        <v>167</v>
      </c>
      <c r="B43" t="s">
        <v>168</v>
      </c>
      <c r="C43">
        <v>92270529.171199992</v>
      </c>
      <c r="D43">
        <v>42</v>
      </c>
      <c r="E43" t="s">
        <v>166</v>
      </c>
    </row>
    <row r="44" spans="1:5">
      <c r="A44" s="2" t="s">
        <v>21</v>
      </c>
      <c r="B44" t="s">
        <v>19</v>
      </c>
      <c r="C44" s="2">
        <v>85138524.083200008</v>
      </c>
      <c r="D44">
        <v>43</v>
      </c>
      <c r="E44" t="s">
        <v>84</v>
      </c>
    </row>
    <row r="45" spans="1:5">
      <c r="A45" s="2" t="s">
        <v>30</v>
      </c>
      <c r="B45" t="s">
        <v>25</v>
      </c>
      <c r="C45" s="2">
        <v>65370627.055800006</v>
      </c>
      <c r="D45">
        <v>44</v>
      </c>
      <c r="E45" t="s">
        <v>80</v>
      </c>
    </row>
    <row r="46" spans="1:5">
      <c r="A46" s="2" t="s">
        <v>22</v>
      </c>
      <c r="B46" t="s">
        <v>17</v>
      </c>
      <c r="C46" s="2">
        <v>62913253.0348</v>
      </c>
      <c r="D46">
        <v>45</v>
      </c>
      <c r="E46" t="s">
        <v>82</v>
      </c>
    </row>
    <row r="47" spans="1:5">
      <c r="A47" s="2" t="s">
        <v>54</v>
      </c>
      <c r="B47" t="s">
        <v>53</v>
      </c>
      <c r="C47" s="2">
        <v>60687543.725400001</v>
      </c>
      <c r="D47">
        <v>46</v>
      </c>
      <c r="E47" t="s">
        <v>86</v>
      </c>
    </row>
    <row r="48" spans="1:5">
      <c r="A48" s="2" t="s">
        <v>36</v>
      </c>
      <c r="B48" t="s">
        <v>35</v>
      </c>
      <c r="C48" s="2">
        <v>37230906.711999997</v>
      </c>
      <c r="D48">
        <v>47</v>
      </c>
      <c r="E48" t="s">
        <v>87</v>
      </c>
    </row>
    <row r="49" spans="1:5">
      <c r="A49" s="2" t="s">
        <v>34</v>
      </c>
      <c r="B49" t="s">
        <v>33</v>
      </c>
      <c r="C49" s="2">
        <v>29539074.563200001</v>
      </c>
      <c r="D49">
        <v>48</v>
      </c>
      <c r="E49" t="s">
        <v>96</v>
      </c>
    </row>
    <row r="50" spans="1:5">
      <c r="A50" s="3" t="s">
        <v>56</v>
      </c>
      <c r="B50" t="s">
        <v>55</v>
      </c>
      <c r="C50" s="2">
        <v>27681815.642499998</v>
      </c>
      <c r="D50">
        <v>49</v>
      </c>
      <c r="E50" t="s">
        <v>85</v>
      </c>
    </row>
    <row r="51" spans="1:5">
      <c r="A51" t="s">
        <v>128</v>
      </c>
      <c r="B51" t="s">
        <v>129</v>
      </c>
      <c r="C51">
        <v>27049554.524999999</v>
      </c>
      <c r="D51">
        <v>50</v>
      </c>
      <c r="E51" t="s">
        <v>130</v>
      </c>
    </row>
    <row r="52" spans="1:5">
      <c r="A52" t="s">
        <v>151</v>
      </c>
      <c r="B52" t="s">
        <v>145</v>
      </c>
      <c r="C52">
        <v>25491588.609999999</v>
      </c>
      <c r="D52">
        <v>51</v>
      </c>
      <c r="E52" t="s">
        <v>152</v>
      </c>
    </row>
    <row r="53" spans="1:5">
      <c r="A53" s="2" t="s">
        <v>62</v>
      </c>
      <c r="B53" t="s">
        <v>61</v>
      </c>
      <c r="C53" s="2">
        <v>11642777.654300001</v>
      </c>
      <c r="D53">
        <v>52</v>
      </c>
      <c r="E53" t="s">
        <v>153</v>
      </c>
    </row>
    <row r="54" spans="1:5">
      <c r="A54" t="s">
        <v>103</v>
      </c>
      <c r="B54" t="s">
        <v>104</v>
      </c>
      <c r="C54">
        <v>1332479.6470000001</v>
      </c>
      <c r="D54">
        <v>53</v>
      </c>
      <c r="E54" t="s">
        <v>105</v>
      </c>
    </row>
  </sheetData>
  <autoFilter ref="A1:E1" xr:uid="{F35CEFC1-B3C5-47E8-B313-C5CF74631A2D}">
    <sortState xmlns:xlrd2="http://schemas.microsoft.com/office/spreadsheetml/2017/richdata2" ref="A2:E54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F54"/>
  <sheetViews>
    <sheetView topLeftCell="A34" workbookViewId="0">
      <selection activeCell="A43" sqref="A43:C43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</cols>
  <sheetData>
    <row r="1" spans="1:6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</row>
    <row r="2" spans="1:6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6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6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6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6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6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6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6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6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6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6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6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6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6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6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M55"/>
  <sheetViews>
    <sheetView tabSelected="1" workbookViewId="0">
      <selection activeCell="J45" sqref="J45"/>
    </sheetView>
  </sheetViews>
  <sheetFormatPr defaultRowHeight="15"/>
  <cols>
    <col min="1" max="1" width="30.42578125" customWidth="1"/>
    <col min="2" max="2" width="25.140625" bestFit="1" customWidth="1"/>
    <col min="3" max="3" width="14.85546875" bestFit="1" customWidth="1"/>
    <col min="4" max="4" width="11.5703125" bestFit="1" customWidth="1"/>
    <col min="5" max="5" width="12.5703125" bestFit="1" customWidth="1"/>
    <col min="6" max="6" width="19.5703125" bestFit="1" customWidth="1"/>
    <col min="7" max="7" width="11.5703125" bestFit="1" customWidth="1"/>
    <col min="8" max="8" width="12.5703125" bestFit="1" customWidth="1"/>
    <col min="9" max="9" width="11.85546875" bestFit="1" customWidth="1"/>
    <col min="10" max="10" width="10.140625" bestFit="1" customWidth="1"/>
    <col min="11" max="11" width="11.85546875" bestFit="1" customWidth="1"/>
    <col min="12" max="12" width="10.85546875" bestFit="1" customWidth="1"/>
    <col min="13" max="13" width="11.5703125" bestFit="1" customWidth="1"/>
    <col min="14" max="14" width="12.5703125" bestFit="1" customWidth="1"/>
    <col min="15" max="15" width="11.85546875" bestFit="1" customWidth="1"/>
    <col min="16" max="16" width="10.140625" bestFit="1" customWidth="1"/>
    <col min="19" max="19" width="10.140625" bestFit="1" customWidth="1"/>
  </cols>
  <sheetData>
    <row r="1" spans="1:13">
      <c r="A1" s="4"/>
      <c r="D1" s="4">
        <v>45539</v>
      </c>
      <c r="G1" s="4">
        <v>45548</v>
      </c>
      <c r="J1" s="4"/>
      <c r="M1" s="4"/>
    </row>
    <row r="2" spans="1:13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</row>
    <row r="3" spans="1:13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G3">
        <v>481260857</v>
      </c>
      <c r="H3">
        <v>4101882536.3824</v>
      </c>
      <c r="I3" s="5">
        <f>SUM($G$3+$H$3)</f>
        <v>4583143393.3824005</v>
      </c>
    </row>
    <row r="4" spans="1:13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  <c r="G4">
        <v>460920976</v>
      </c>
      <c r="H4">
        <v>3425795154.1199999</v>
      </c>
      <c r="I4">
        <f>SUM($G$4+$H$4)</f>
        <v>3886716130.1199999</v>
      </c>
    </row>
    <row r="5" spans="1:13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  <c r="G5">
        <v>458778966</v>
      </c>
      <c r="H5">
        <v>3422903987.4294</v>
      </c>
      <c r="I5">
        <f>SUM($G$5+$H$5)</f>
        <v>3881682953.4294</v>
      </c>
    </row>
    <row r="6" spans="1:13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</row>
    <row r="7" spans="1:13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  <c r="G7">
        <v>427931697</v>
      </c>
      <c r="H7">
        <v>2841723227.0981998</v>
      </c>
      <c r="I7">
        <f>SUM($G$7+$H$7)</f>
        <v>3269654924.0981998</v>
      </c>
    </row>
    <row r="8" spans="1:13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  <c r="G8">
        <v>296886770</v>
      </c>
      <c r="H8">
        <v>1763240215.707</v>
      </c>
      <c r="I8">
        <f>SUM($G$8+$H$8)</f>
        <v>2060126985.707</v>
      </c>
    </row>
    <row r="9" spans="1:13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  <c r="G9">
        <v>311521068</v>
      </c>
      <c r="H9">
        <v>1786635629.1935999</v>
      </c>
      <c r="I9">
        <f>SUM($G$9+$H$9)</f>
        <v>2098156697.1935999</v>
      </c>
    </row>
    <row r="10" spans="1:13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  <c r="G10">
        <v>254623999</v>
      </c>
      <c r="H10">
        <v>1247071959.9022999</v>
      </c>
      <c r="I10">
        <f>SUM($G$10+$H$10)</f>
        <v>1501695958.9022999</v>
      </c>
    </row>
    <row r="11" spans="1:13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  <c r="G11">
        <v>268513618</v>
      </c>
      <c r="H11">
        <v>1094649466.5006001</v>
      </c>
      <c r="I11">
        <f>SUM($G$11+$H$11)</f>
        <v>1363163084.5006001</v>
      </c>
    </row>
    <row r="12" spans="1:13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  <c r="G12">
        <v>308853213</v>
      </c>
      <c r="H12">
        <v>986291850.39419997</v>
      </c>
      <c r="I12">
        <f>SUM($G$12+$H$12)</f>
        <v>1295145063.3941998</v>
      </c>
    </row>
    <row r="13" spans="1:13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  <c r="G13">
        <v>173467026</v>
      </c>
      <c r="H13">
        <v>787748458.47119999</v>
      </c>
      <c r="I13">
        <f>SUM($G$13+$H$13)</f>
        <v>961215484.47119999</v>
      </c>
    </row>
    <row r="14" spans="1:13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  <c r="G14">
        <v>181082534</v>
      </c>
      <c r="H14">
        <v>680580595.78559995</v>
      </c>
      <c r="I14">
        <f>SUM($G$14+$H$14)</f>
        <v>861663129.78559995</v>
      </c>
    </row>
    <row r="15" spans="1:13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  <c r="G15">
        <v>195693359</v>
      </c>
      <c r="H15">
        <v>693556833.63190007</v>
      </c>
      <c r="I15">
        <f>SUM($G$15+$H$15)</f>
        <v>889250192.63190007</v>
      </c>
    </row>
    <row r="16" spans="1:13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  <c r="G16">
        <v>142205626</v>
      </c>
      <c r="H16">
        <v>624567109.39199996</v>
      </c>
      <c r="I16">
        <f>SUM($G$16+$H$16)</f>
        <v>766772735.39199996</v>
      </c>
    </row>
    <row r="17" spans="2:9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  <c r="G17">
        <v>210234519</v>
      </c>
      <c r="H17">
        <v>1063408244.0058</v>
      </c>
      <c r="I17">
        <f>SUM($G$17+$H$17)</f>
        <v>1273642763.0058</v>
      </c>
    </row>
    <row r="18" spans="2:9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</row>
    <row r="19" spans="2:9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  <c r="G19">
        <v>173105151</v>
      </c>
      <c r="H19">
        <v>565084454.92439997</v>
      </c>
      <c r="I19">
        <f>SUM($G$19+$H$19)</f>
        <v>738189605.92439997</v>
      </c>
    </row>
    <row r="20" spans="2:9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  <c r="G20">
        <v>165844676</v>
      </c>
      <c r="H20">
        <v>623642319.63040006</v>
      </c>
      <c r="I20">
        <f>SUM($G$20+$H$20)</f>
        <v>789486995.63040006</v>
      </c>
    </row>
    <row r="21" spans="2:9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  <c r="G21">
        <v>161025055</v>
      </c>
      <c r="H21">
        <v>468228654.92899996</v>
      </c>
      <c r="I21">
        <f>SUM($G$21+$H$21)</f>
        <v>629253709.9289999</v>
      </c>
    </row>
    <row r="22" spans="2:9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  <c r="G22">
        <v>176005164</v>
      </c>
      <c r="H22">
        <v>494257701.54479998</v>
      </c>
      <c r="I22">
        <f>SUM($G$22+$H$22)</f>
        <v>670262865.54480004</v>
      </c>
    </row>
    <row r="23" spans="2:9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  <c r="G23">
        <v>154410036</v>
      </c>
      <c r="H23">
        <v>502573785.1728</v>
      </c>
      <c r="I23">
        <f>SUM($G$23+$H$23)</f>
        <v>656983821.17280006</v>
      </c>
    </row>
    <row r="24" spans="2:9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  <c r="G24">
        <v>128477891</v>
      </c>
      <c r="H24">
        <v>380024753.78890002</v>
      </c>
      <c r="I24">
        <f>SUM($G$24+$H$24)</f>
        <v>508502644.78890002</v>
      </c>
    </row>
    <row r="25" spans="2:9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  <c r="G25">
        <v>115755846</v>
      </c>
      <c r="H25">
        <v>362686216.68720001</v>
      </c>
      <c r="I25">
        <f>SUM($G$25+$H$25)</f>
        <v>478442062.68720001</v>
      </c>
    </row>
    <row r="26" spans="2:9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  <c r="G26">
        <v>122905136</v>
      </c>
      <c r="H26">
        <v>346973489.44160002</v>
      </c>
      <c r="I26">
        <f>SUM($G$26+$H$26)</f>
        <v>469878625.44160002</v>
      </c>
    </row>
    <row r="27" spans="2:9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  <c r="G27">
        <v>100648646</v>
      </c>
      <c r="H27">
        <v>337293742.4752</v>
      </c>
      <c r="I27">
        <f>SUM($G$27+$H$27)</f>
        <v>437942388.4752</v>
      </c>
    </row>
    <row r="28" spans="2:9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  <c r="G28">
        <v>98640246</v>
      </c>
      <c r="H28">
        <v>282180151.73219997</v>
      </c>
      <c r="I28">
        <f>SUM($G$28+$H$28)</f>
        <v>380820397.73219997</v>
      </c>
    </row>
    <row r="29" spans="2:9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  <c r="G29">
        <v>101224445</v>
      </c>
      <c r="H29">
        <v>204807419.56850001</v>
      </c>
      <c r="I29">
        <f>SUM($G$29+$H$29)</f>
        <v>306031864.56850004</v>
      </c>
    </row>
    <row r="30" spans="2:9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  <c r="G30">
        <v>84709434</v>
      </c>
      <c r="H30">
        <v>235026324.63299999</v>
      </c>
      <c r="I30">
        <f>SUM($G$30+$H$30)</f>
        <v>319735758.63300002</v>
      </c>
    </row>
    <row r="31" spans="2:9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  <c r="G31">
        <v>107839026</v>
      </c>
      <c r="H31">
        <v>259697942.41319999</v>
      </c>
      <c r="I31">
        <f>SUM($G$31+$H$31)</f>
        <v>367536968.41320002</v>
      </c>
    </row>
    <row r="32" spans="2:9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  <c r="G32">
        <v>104776045</v>
      </c>
      <c r="H32">
        <v>212789669.79050002</v>
      </c>
      <c r="I32">
        <f>SUM($G$32+$H$32)</f>
        <v>317565714.79050004</v>
      </c>
    </row>
    <row r="33" spans="2:9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  <c r="G33">
        <v>93684420</v>
      </c>
      <c r="H33">
        <v>228458826.61200002</v>
      </c>
      <c r="I33">
        <f>SUM($G$33+$H$33)</f>
        <v>322143246.61199999</v>
      </c>
    </row>
    <row r="34" spans="2:9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  <c r="G34">
        <v>69988181</v>
      </c>
      <c r="H34">
        <v>143860706.04550001</v>
      </c>
      <c r="I34">
        <f>SUM($G$34+$H$34)</f>
        <v>213848887.04550001</v>
      </c>
    </row>
    <row r="35" spans="2:9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  <c r="G35">
        <v>89707960</v>
      </c>
      <c r="H35">
        <v>139226753.91999999</v>
      </c>
      <c r="I35">
        <f>SUM($G$35+$H$35)</f>
        <v>228934713.91999999</v>
      </c>
    </row>
    <row r="36" spans="2:9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  <c r="G36">
        <v>97825641</v>
      </c>
      <c r="H36">
        <v>141299355.86039999</v>
      </c>
      <c r="I36">
        <f>SUM($G$36+$H$36)</f>
        <v>239124996.86039999</v>
      </c>
    </row>
    <row r="37" spans="2:9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  <c r="G37">
        <v>93880825</v>
      </c>
      <c r="H37">
        <v>152180817.32499999</v>
      </c>
      <c r="I37">
        <f>SUM($G$37+$H$37)</f>
        <v>246061642.32499999</v>
      </c>
    </row>
    <row r="38" spans="2:9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  <c r="G38">
        <v>67442850</v>
      </c>
      <c r="H38">
        <v>97003051.155000001</v>
      </c>
      <c r="I38">
        <f>SUM($G$38+$H$38)</f>
        <v>164445901.155</v>
      </c>
    </row>
    <row r="39" spans="2:9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  <c r="G39">
        <v>64822400</v>
      </c>
      <c r="H39">
        <v>98711550.719999999</v>
      </c>
      <c r="I39">
        <f>SUM($G$39+$H$39)</f>
        <v>163533950.72</v>
      </c>
    </row>
    <row r="40" spans="2:9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  <c r="G40">
        <v>70109816</v>
      </c>
      <c r="H40">
        <v>102584682.7712</v>
      </c>
      <c r="I40">
        <f>SUM($G$40+$H$40)</f>
        <v>172694498.7712</v>
      </c>
    </row>
    <row r="41" spans="2:9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  <c r="G41">
        <v>57221661</v>
      </c>
      <c r="H41">
        <v>98323980.096300006</v>
      </c>
      <c r="I41">
        <f>SUM($G$41+$H$41)</f>
        <v>155545641.09630001</v>
      </c>
    </row>
    <row r="42" spans="2:9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  <c r="G42">
        <v>49017690</v>
      </c>
      <c r="H42">
        <v>72320699.82599999</v>
      </c>
      <c r="I42">
        <f>SUM($G$42+$H$42)</f>
        <v>121338389.82599999</v>
      </c>
    </row>
    <row r="43" spans="2:9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  <c r="G43">
        <v>51551241</v>
      </c>
      <c r="H43">
        <v>53499877.9098</v>
      </c>
      <c r="I43">
        <f>SUM($G$43+$H$43)</f>
        <v>105051118.90979999</v>
      </c>
    </row>
    <row r="44" spans="2:9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  <c r="G44">
        <v>44462466</v>
      </c>
      <c r="H44">
        <v>45249451.648199998</v>
      </c>
      <c r="I44">
        <f>SUM($G$44+$H$44)</f>
        <v>89711917.648200005</v>
      </c>
    </row>
    <row r="45" spans="2:9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  <c r="G45">
        <v>44301626</v>
      </c>
      <c r="H45">
        <v>51478489.412</v>
      </c>
      <c r="I45">
        <f>SUM($G$45+$H$45)</f>
        <v>95780115.412</v>
      </c>
    </row>
    <row r="46" spans="2:9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  <c r="G46">
        <v>31279675</v>
      </c>
      <c r="H46">
        <v>34004134.692499995</v>
      </c>
      <c r="I46">
        <f>SUM($G$46+$H$46)</f>
        <v>65283809.692499995</v>
      </c>
    </row>
    <row r="47" spans="2:9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  <c r="G47">
        <v>28123061</v>
      </c>
      <c r="H47">
        <v>29287355.725400001</v>
      </c>
      <c r="I47">
        <f>SUM($G$47+$H$47)</f>
        <v>57410416.725400001</v>
      </c>
    </row>
    <row r="48" spans="2:9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  <c r="G48">
        <v>32232290</v>
      </c>
      <c r="H48">
        <v>27710099.713</v>
      </c>
      <c r="I48">
        <f>SUM($G$48+$H$48)</f>
        <v>59942389.713</v>
      </c>
    </row>
    <row r="49" spans="2:9">
      <c r="B49" s="2" t="s">
        <v>34</v>
      </c>
      <c r="C49" t="s">
        <v>33</v>
      </c>
      <c r="D49">
        <v>19632252</v>
      </c>
      <c r="E49">
        <v>8473279.9631999992</v>
      </c>
      <c r="F49">
        <f>SUM($D$49+$E$49)</f>
        <v>28105531.963199999</v>
      </c>
      <c r="G49">
        <v>21379347</v>
      </c>
      <c r="H49">
        <v>9815258.2076999992</v>
      </c>
      <c r="I49">
        <f>SUM($G$49+$H$49)</f>
        <v>31194605.207699999</v>
      </c>
    </row>
    <row r="50" spans="2:9">
      <c r="B50" s="3" t="s">
        <v>56</v>
      </c>
      <c r="C50" t="s">
        <v>55</v>
      </c>
      <c r="D50">
        <v>18010345</v>
      </c>
      <c r="E50">
        <v>9482446.6425000001</v>
      </c>
      <c r="F50">
        <f>SUM($D$50+$E$50)</f>
        <v>27492791.642499998</v>
      </c>
      <c r="G50">
        <v>18010345</v>
      </c>
      <c r="H50">
        <v>9482446.6425000001</v>
      </c>
      <c r="I50">
        <f>SUM($G$50+$H$50)</f>
        <v>27492791.642499998</v>
      </c>
    </row>
    <row r="51" spans="2:9">
      <c r="B51" t="s">
        <v>128</v>
      </c>
      <c r="C51" t="s">
        <v>129</v>
      </c>
      <c r="D51">
        <v>16530145</v>
      </c>
      <c r="E51">
        <v>4833414.398</v>
      </c>
      <c r="F51">
        <f>SUM($D$51+$E$51)</f>
        <v>21363559.398000002</v>
      </c>
      <c r="G51">
        <v>16662585</v>
      </c>
      <c r="H51">
        <v>5551973.3219999997</v>
      </c>
      <c r="I51">
        <f>SUM($G$51+$H$51)</f>
        <v>22214558.322000001</v>
      </c>
    </row>
    <row r="52" spans="2:9">
      <c r="B52" t="s">
        <v>151</v>
      </c>
      <c r="C52" t="s">
        <v>145</v>
      </c>
      <c r="D52">
        <v>17987575</v>
      </c>
      <c r="E52">
        <v>7047531.8849999998</v>
      </c>
      <c r="F52">
        <f>SUM($D$52+$E$52)</f>
        <v>25035106.884999998</v>
      </c>
      <c r="G52">
        <v>24662120</v>
      </c>
      <c r="H52">
        <v>14015482.796</v>
      </c>
      <c r="I52">
        <f>SUM($G$52+$H$52)</f>
        <v>38677602.796000004</v>
      </c>
    </row>
    <row r="53" spans="2:9">
      <c r="B53" s="2" t="s">
        <v>62</v>
      </c>
      <c r="C53" t="s">
        <v>61</v>
      </c>
      <c r="D53">
        <v>9221571</v>
      </c>
      <c r="E53">
        <v>2750794.6292999997</v>
      </c>
      <c r="F53">
        <f>SUM($D$53+$E$53)</f>
        <v>11972365.6293</v>
      </c>
      <c r="G53">
        <v>21994581</v>
      </c>
      <c r="H53">
        <v>10361647.109099999</v>
      </c>
      <c r="I53">
        <f>SUM($G$53+$H$53)</f>
        <v>32356228.109099999</v>
      </c>
    </row>
    <row r="54" spans="2:9">
      <c r="B54" t="s">
        <v>103</v>
      </c>
      <c r="C54" t="s">
        <v>104</v>
      </c>
      <c r="D54">
        <v>1303390</v>
      </c>
      <c r="E54">
        <v>22548.647000000001</v>
      </c>
      <c r="F54">
        <f>SUM($D$54+$E$54)</f>
        <v>1325938.6470000001</v>
      </c>
      <c r="G54">
        <v>1306180</v>
      </c>
      <c r="H54">
        <v>22596.914000000001</v>
      </c>
      <c r="I54">
        <f>SUM($G$54+$H$54)</f>
        <v>1328776.9140000001</v>
      </c>
    </row>
    <row r="55" spans="2:9">
      <c r="B55" t="s">
        <v>167</v>
      </c>
      <c r="C55" t="s">
        <v>168</v>
      </c>
      <c r="D55">
        <v>44644000</v>
      </c>
      <c r="E55">
        <v>47626529.171199992</v>
      </c>
      <c r="F55">
        <f>SUM($D$55+$E$55)</f>
        <v>92270529.171199992</v>
      </c>
      <c r="G55">
        <v>49081696</v>
      </c>
      <c r="H55">
        <v>58466116.275200002</v>
      </c>
      <c r="I55">
        <f>SUM($G$55+$H$55)</f>
        <v>107547812.27520001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A2" sqref="A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6" t="s">
        <v>162</v>
      </c>
      <c r="B1" s="6" t="s">
        <v>163</v>
      </c>
    </row>
    <row r="2" spans="1:2" ht="21">
      <c r="A2" s="7" t="s">
        <v>166</v>
      </c>
      <c r="B2" s="8" t="s">
        <v>167</v>
      </c>
    </row>
    <row r="3" spans="1:2" ht="21">
      <c r="A3" s="9"/>
      <c r="B3" s="10"/>
    </row>
    <row r="4" spans="1:2" ht="21">
      <c r="A4" s="9"/>
      <c r="B4" s="10"/>
    </row>
    <row r="5" spans="1:2" ht="21">
      <c r="A5" s="9"/>
      <c r="B5" s="11"/>
    </row>
    <row r="6" spans="1:2" ht="21">
      <c r="A6" s="9"/>
      <c r="B6" s="11"/>
    </row>
    <row r="7" spans="1:2" ht="21">
      <c r="A7" s="9"/>
      <c r="B7" s="10"/>
    </row>
    <row r="8" spans="1:2" ht="21">
      <c r="A8" s="9"/>
      <c r="B8" s="11"/>
    </row>
    <row r="9" spans="1:2" ht="21">
      <c r="A9" s="9"/>
      <c r="B9" s="11"/>
    </row>
    <row r="10" spans="1:2" ht="21">
      <c r="A10" s="9"/>
      <c r="B10" s="10"/>
    </row>
    <row r="11" spans="1:2" ht="21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I8" sqref="I8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6" t="s">
        <v>164</v>
      </c>
      <c r="B1" s="6" t="s">
        <v>165</v>
      </c>
    </row>
    <row r="2" spans="1:21" ht="21">
      <c r="A2" s="7" t="s">
        <v>167</v>
      </c>
      <c r="B2" s="14">
        <v>92270529.171199992</v>
      </c>
      <c r="L2" s="4"/>
      <c r="O2" s="4"/>
      <c r="R2" s="4"/>
      <c r="U2" s="4"/>
    </row>
    <row r="3" spans="1:21" ht="21">
      <c r="A3" s="9"/>
      <c r="B3" s="11"/>
    </row>
    <row r="4" spans="1:21" ht="21">
      <c r="A4" s="9"/>
      <c r="B4" s="11"/>
    </row>
    <row r="5" spans="1:21" ht="21">
      <c r="A5" s="9"/>
      <c r="B5" s="11"/>
    </row>
    <row r="6" spans="1:21" ht="21">
      <c r="A6" s="9"/>
      <c r="B6" s="11"/>
    </row>
    <row r="7" spans="1:21" ht="21">
      <c r="A7" s="9"/>
      <c r="B7" s="11"/>
    </row>
    <row r="8" spans="1:21" ht="21">
      <c r="A8" s="9"/>
      <c r="B8" s="11"/>
    </row>
    <row r="9" spans="1:21" ht="21">
      <c r="A9" s="9"/>
      <c r="B9" s="11"/>
    </row>
    <row r="10" spans="1:21" ht="21">
      <c r="A10" s="9"/>
      <c r="B10" s="11"/>
    </row>
    <row r="11" spans="1:21" ht="21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FIND ID</vt:lpstr>
      <vt:lpstr>FIND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2024-09-14T02:15:13Z</dcterms:modified>
</cp:coreProperties>
</file>