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7FF99D3F-AD4F-4644-94CA-A47198E0B01E}" xr6:coauthVersionLast="47" xr6:coauthVersionMax="47" xr10:uidLastSave="{00000000-0000-0000-0000-000000000000}"/>
  <bookViews>
    <workbookView xWindow="14295" yWindow="0" windowWidth="14610" windowHeight="15585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15" i="3" l="1"/>
  <c r="AM115" i="3"/>
  <c r="AJ115" i="3"/>
  <c r="AG115" i="3"/>
  <c r="AD115" i="3"/>
  <c r="AA115" i="3"/>
  <c r="X115" i="3"/>
  <c r="U115" i="3"/>
  <c r="R115" i="3"/>
  <c r="O115" i="3"/>
  <c r="L115" i="3"/>
  <c r="I115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5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G6" i="6"/>
  <c r="P23" i="6"/>
  <c r="O23" i="6"/>
  <c r="O14" i="6"/>
  <c r="P14" i="6"/>
  <c r="O22" i="6"/>
  <c r="J22" i="6"/>
  <c r="M22" i="6"/>
  <c r="J21" i="6"/>
  <c r="M21" i="6"/>
  <c r="J20" i="6"/>
  <c r="M20" i="6"/>
  <c r="J19" i="6"/>
  <c r="M19" i="6"/>
  <c r="J18" i="6"/>
  <c r="M18" i="6"/>
  <c r="J17" i="6"/>
  <c r="M17" i="6"/>
  <c r="J16" i="6"/>
  <c r="M16" i="6"/>
  <c r="J15" i="6"/>
  <c r="M15" i="6"/>
  <c r="J14" i="6"/>
  <c r="M14" i="6"/>
  <c r="M23" i="6"/>
  <c r="L23" i="6"/>
  <c r="J23" i="6"/>
  <c r="I23" i="6"/>
  <c r="F23" i="6"/>
  <c r="G23" i="6"/>
  <c r="C23" i="6"/>
  <c r="D23" i="6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D8" i="6"/>
  <c r="E3" i="6"/>
  <c r="E5" i="6"/>
  <c r="E4" i="6"/>
  <c r="F5" i="6"/>
  <c r="F4" i="6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3" i="3"/>
  <c r="P16" i="6" l="1"/>
  <c r="P17" i="6"/>
  <c r="P18" i="6"/>
  <c r="P19" i="6"/>
  <c r="P20" i="6"/>
  <c r="P21" i="6"/>
  <c r="P22" i="6"/>
  <c r="P15" i="6"/>
  <c r="O13" i="6"/>
  <c r="O15" i="6"/>
  <c r="O16" i="6"/>
  <c r="O17" i="6"/>
  <c r="O18" i="6"/>
  <c r="O19" i="6"/>
  <c r="O20" i="6"/>
  <c r="O21" i="6"/>
  <c r="O12" i="6"/>
  <c r="E6" i="6"/>
  <c r="C8" i="6"/>
  <c r="B8" i="6"/>
  <c r="F7" i="6" l="1"/>
  <c r="F6" i="6"/>
  <c r="F3" i="6"/>
  <c r="G4" i="6" s="1"/>
  <c r="G7" i="6" l="1"/>
  <c r="F8" i="6"/>
  <c r="G5" i="6"/>
</calcChain>
</file>

<file path=xl/sharedStrings.xml><?xml version="1.0" encoding="utf-8"?>
<sst xmlns="http://schemas.openxmlformats.org/spreadsheetml/2006/main" count="654" uniqueCount="375">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</sst>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0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9" fontId="0" fillId="0" borderId="0" xfId="0" applyNumberForma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0" fontId="5" fillId="3" borderId="0" xfId="0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0" fontId="5" fillId="3" borderId="0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14"/>
  <sheetViews>
    <sheetView tabSelected="1" topLeftCell="A70" zoomScaleNormal="100" workbookViewId="0">
      <selection activeCell="D2" sqref="D2:D114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371</v>
      </c>
      <c r="B2" t="s">
        <v>366</v>
      </c>
      <c r="C2">
        <v>45745060333.695801</v>
      </c>
      <c r="D2">
        <v>1</v>
      </c>
      <c r="E2" t="s">
        <v>367</v>
      </c>
    </row>
    <row r="3" spans="1:5">
      <c r="A3" t="s">
        <v>346</v>
      </c>
      <c r="B3" t="s">
        <v>324</v>
      </c>
      <c r="C3">
        <v>45316432473.346001</v>
      </c>
      <c r="D3">
        <v>2</v>
      </c>
      <c r="E3" t="s">
        <v>323</v>
      </c>
    </row>
    <row r="4" spans="1:5">
      <c r="A4" s="2" t="s">
        <v>44</v>
      </c>
      <c r="B4" t="s">
        <v>43</v>
      </c>
      <c r="C4" s="2">
        <v>24536251804.315201</v>
      </c>
      <c r="D4">
        <v>3</v>
      </c>
      <c r="E4" t="s">
        <v>63</v>
      </c>
    </row>
    <row r="5" spans="1:5">
      <c r="A5" s="2" t="s">
        <v>24</v>
      </c>
      <c r="B5" t="s">
        <v>20</v>
      </c>
      <c r="C5" s="2">
        <v>20461351958.147198</v>
      </c>
      <c r="D5">
        <v>4</v>
      </c>
      <c r="E5" t="s">
        <v>61</v>
      </c>
    </row>
    <row r="6" spans="1:5">
      <c r="A6" t="s">
        <v>352</v>
      </c>
      <c r="B6" t="s">
        <v>335</v>
      </c>
      <c r="C6">
        <v>20224536917.459202</v>
      </c>
      <c r="D6">
        <v>5</v>
      </c>
      <c r="E6" t="s">
        <v>336</v>
      </c>
    </row>
    <row r="7" spans="1:5">
      <c r="A7" s="2" t="s">
        <v>31</v>
      </c>
      <c r="B7" t="s">
        <v>32</v>
      </c>
      <c r="C7" s="2">
        <v>19958245048.767403</v>
      </c>
      <c r="D7">
        <v>6</v>
      </c>
      <c r="E7" t="s">
        <v>62</v>
      </c>
    </row>
    <row r="8" spans="1:5">
      <c r="A8" s="2" t="s">
        <v>88</v>
      </c>
      <c r="B8" t="s">
        <v>87</v>
      </c>
      <c r="C8" s="2">
        <v>17960732258.047501</v>
      </c>
      <c r="D8">
        <v>7</v>
      </c>
      <c r="E8" t="s">
        <v>124</v>
      </c>
    </row>
    <row r="9" spans="1:5">
      <c r="A9" s="2" t="s">
        <v>162</v>
      </c>
      <c r="B9" t="s">
        <v>160</v>
      </c>
      <c r="C9">
        <v>17858614874.7616</v>
      </c>
      <c r="D9">
        <v>8</v>
      </c>
      <c r="E9" t="s">
        <v>161</v>
      </c>
    </row>
    <row r="10" spans="1:5">
      <c r="A10" t="s">
        <v>242</v>
      </c>
      <c r="B10" t="s">
        <v>241</v>
      </c>
      <c r="C10">
        <v>15277215322.975199</v>
      </c>
      <c r="D10">
        <v>9</v>
      </c>
      <c r="E10" t="s">
        <v>240</v>
      </c>
    </row>
    <row r="11" spans="1:5">
      <c r="A11" s="1" t="s">
        <v>5</v>
      </c>
      <c r="B11" t="s">
        <v>3</v>
      </c>
      <c r="C11" s="2">
        <v>14209659250.305599</v>
      </c>
      <c r="D11">
        <v>10</v>
      </c>
      <c r="E11" t="s">
        <v>3</v>
      </c>
    </row>
    <row r="12" spans="1:5">
      <c r="A12" s="1" t="s">
        <v>1</v>
      </c>
      <c r="B12" t="s">
        <v>0</v>
      </c>
      <c r="C12" s="2">
        <v>13389992551.724998</v>
      </c>
      <c r="D12">
        <v>11</v>
      </c>
      <c r="E12" t="s">
        <v>0</v>
      </c>
    </row>
    <row r="13" spans="1:5">
      <c r="A13" t="s">
        <v>270</v>
      </c>
      <c r="B13" t="s">
        <v>269</v>
      </c>
      <c r="C13">
        <v>11783823724.577801</v>
      </c>
      <c r="D13">
        <v>12</v>
      </c>
      <c r="E13" t="s">
        <v>268</v>
      </c>
    </row>
    <row r="14" spans="1:5">
      <c r="A14" s="2" t="s">
        <v>46</v>
      </c>
      <c r="B14" s="2" t="s">
        <v>45</v>
      </c>
      <c r="C14" s="2">
        <v>10120026874.669201</v>
      </c>
      <c r="D14">
        <v>13</v>
      </c>
      <c r="E14" t="s">
        <v>64</v>
      </c>
    </row>
    <row r="15" spans="1:5">
      <c r="A15" t="s">
        <v>110</v>
      </c>
      <c r="B15" t="s">
        <v>111</v>
      </c>
      <c r="C15">
        <v>9843452411.4708004</v>
      </c>
      <c r="D15">
        <v>14</v>
      </c>
      <c r="E15" t="s">
        <v>156</v>
      </c>
    </row>
    <row r="16" spans="1:5">
      <c r="A16" t="s">
        <v>312</v>
      </c>
      <c r="B16" t="s">
        <v>289</v>
      </c>
      <c r="C16">
        <v>9576476931.9459</v>
      </c>
      <c r="D16">
        <v>15</v>
      </c>
      <c r="E16" t="s">
        <v>288</v>
      </c>
    </row>
    <row r="17" spans="1:5">
      <c r="A17" s="2" t="s">
        <v>48</v>
      </c>
      <c r="B17" t="s">
        <v>47</v>
      </c>
      <c r="C17" s="2">
        <v>9289993315.6868</v>
      </c>
      <c r="D17">
        <v>16</v>
      </c>
      <c r="E17" t="s">
        <v>67</v>
      </c>
    </row>
    <row r="18" spans="1:5">
      <c r="A18" t="s">
        <v>198</v>
      </c>
      <c r="B18" t="s">
        <v>197</v>
      </c>
      <c r="C18">
        <v>9004343011.0797997</v>
      </c>
      <c r="D18">
        <v>17</v>
      </c>
      <c r="E18" t="s">
        <v>196</v>
      </c>
    </row>
    <row r="19" spans="1:5">
      <c r="A19" s="2" t="s">
        <v>42</v>
      </c>
      <c r="B19" t="s">
        <v>41</v>
      </c>
      <c r="C19" s="2">
        <v>8319276286.7268991</v>
      </c>
      <c r="D19">
        <v>18</v>
      </c>
      <c r="E19" t="s">
        <v>41</v>
      </c>
    </row>
    <row r="20" spans="1:5">
      <c r="A20" t="s">
        <v>267</v>
      </c>
      <c r="B20" t="s">
        <v>264</v>
      </c>
      <c r="C20">
        <v>8141882984.0787992</v>
      </c>
      <c r="D20">
        <v>19</v>
      </c>
      <c r="E20" t="s">
        <v>263</v>
      </c>
    </row>
    <row r="21" spans="1:5">
      <c r="A21" t="s">
        <v>141</v>
      </c>
      <c r="B21" t="s">
        <v>142</v>
      </c>
      <c r="C21">
        <v>7940617109.3094006</v>
      </c>
      <c r="D21">
        <v>20</v>
      </c>
      <c r="E21" t="s">
        <v>143</v>
      </c>
    </row>
    <row r="22" spans="1:5">
      <c r="A22" t="s">
        <v>351</v>
      </c>
      <c r="B22" t="s">
        <v>333</v>
      </c>
      <c r="C22">
        <v>7189928102.1664</v>
      </c>
      <c r="D22">
        <v>21</v>
      </c>
      <c r="E22" t="s">
        <v>334</v>
      </c>
    </row>
    <row r="23" spans="1:5">
      <c r="A23" s="3" t="s">
        <v>215</v>
      </c>
      <c r="B23" t="s">
        <v>209</v>
      </c>
      <c r="C23" s="2">
        <v>7133076877.0464001</v>
      </c>
      <c r="D23">
        <v>22</v>
      </c>
      <c r="E23" t="s">
        <v>208</v>
      </c>
    </row>
    <row r="24" spans="1:5">
      <c r="A24" t="s">
        <v>374</v>
      </c>
      <c r="B24" t="s">
        <v>368</v>
      </c>
      <c r="C24">
        <v>7024294276.5122995</v>
      </c>
      <c r="D24">
        <v>23</v>
      </c>
      <c r="E24" t="s">
        <v>373</v>
      </c>
    </row>
    <row r="25" spans="1:5">
      <c r="A25" s="2" t="s">
        <v>216</v>
      </c>
      <c r="B25" t="s">
        <v>205</v>
      </c>
      <c r="C25" s="2">
        <v>6951635182.8207998</v>
      </c>
      <c r="D25">
        <v>24</v>
      </c>
      <c r="E25" t="s">
        <v>204</v>
      </c>
    </row>
    <row r="26" spans="1:5">
      <c r="A26" s="2" t="s">
        <v>50</v>
      </c>
      <c r="B26" s="2" t="s">
        <v>49</v>
      </c>
      <c r="C26" s="2">
        <v>6678805106.9432001</v>
      </c>
      <c r="D26">
        <v>25</v>
      </c>
      <c r="E26" t="s">
        <v>243</v>
      </c>
    </row>
    <row r="27" spans="1:5">
      <c r="A27" t="s">
        <v>118</v>
      </c>
      <c r="B27" t="s">
        <v>119</v>
      </c>
      <c r="C27">
        <v>6605776918.8464003</v>
      </c>
      <c r="D27">
        <v>26</v>
      </c>
      <c r="E27" t="s">
        <v>120</v>
      </c>
    </row>
    <row r="28" spans="1:5">
      <c r="A28" t="s">
        <v>184</v>
      </c>
      <c r="B28" t="s">
        <v>274</v>
      </c>
      <c r="C28">
        <v>6583339625.9359999</v>
      </c>
      <c r="D28">
        <v>27</v>
      </c>
      <c r="E28" t="s">
        <v>227</v>
      </c>
    </row>
    <row r="29" spans="1:5">
      <c r="A29" t="s">
        <v>229</v>
      </c>
      <c r="B29" t="s">
        <v>230</v>
      </c>
      <c r="C29">
        <v>6147624803.6442003</v>
      </c>
      <c r="D29">
        <v>28</v>
      </c>
      <c r="E29" t="s">
        <v>228</v>
      </c>
    </row>
    <row r="30" spans="1:5">
      <c r="A30" t="s">
        <v>353</v>
      </c>
      <c r="B30" t="s">
        <v>338</v>
      </c>
      <c r="C30">
        <v>5991669262.9750004</v>
      </c>
      <c r="D30">
        <v>29</v>
      </c>
      <c r="E30" t="s">
        <v>337</v>
      </c>
    </row>
    <row r="31" spans="1:5">
      <c r="A31" t="s">
        <v>319</v>
      </c>
      <c r="B31" t="s">
        <v>302</v>
      </c>
      <c r="C31">
        <v>5988256036.8585997</v>
      </c>
      <c r="D31">
        <v>30</v>
      </c>
      <c r="E31" t="s">
        <v>303</v>
      </c>
    </row>
    <row r="32" spans="1:5">
      <c r="A32" t="s">
        <v>128</v>
      </c>
      <c r="B32" t="s">
        <v>129</v>
      </c>
      <c r="C32">
        <v>5893062217.0705996</v>
      </c>
      <c r="D32">
        <v>31</v>
      </c>
      <c r="E32" t="s">
        <v>130</v>
      </c>
    </row>
    <row r="33" spans="1:5">
      <c r="A33" t="s">
        <v>223</v>
      </c>
      <c r="B33" t="s">
        <v>213</v>
      </c>
      <c r="C33">
        <v>5810275686.3037996</v>
      </c>
      <c r="D33">
        <v>32</v>
      </c>
      <c r="E33" t="s">
        <v>212</v>
      </c>
    </row>
    <row r="34" spans="1:5">
      <c r="A34" t="s">
        <v>96</v>
      </c>
      <c r="B34" t="s">
        <v>97</v>
      </c>
      <c r="C34">
        <v>5749438669.5271997</v>
      </c>
      <c r="D34">
        <v>33</v>
      </c>
      <c r="E34" t="s">
        <v>98</v>
      </c>
    </row>
    <row r="35" spans="1:5">
      <c r="A35" s="3" t="s">
        <v>83</v>
      </c>
      <c r="B35" t="s">
        <v>81</v>
      </c>
      <c r="C35" s="2">
        <v>5456060530.7090006</v>
      </c>
      <c r="D35">
        <v>34</v>
      </c>
      <c r="E35" t="s">
        <v>82</v>
      </c>
    </row>
    <row r="36" spans="1:5">
      <c r="A36" t="s">
        <v>6</v>
      </c>
      <c r="B36" t="s">
        <v>4</v>
      </c>
      <c r="C36" s="2">
        <v>5410134525.6848001</v>
      </c>
      <c r="D36">
        <v>35</v>
      </c>
      <c r="E36" t="s">
        <v>4</v>
      </c>
    </row>
    <row r="37" spans="1:5">
      <c r="A37" t="s">
        <v>318</v>
      </c>
      <c r="B37" t="s">
        <v>300</v>
      </c>
      <c r="C37">
        <v>5263593632.6665001</v>
      </c>
      <c r="D37">
        <v>36</v>
      </c>
      <c r="E37" t="s">
        <v>301</v>
      </c>
    </row>
    <row r="38" spans="1:5">
      <c r="A38" t="s">
        <v>102</v>
      </c>
      <c r="B38" t="s">
        <v>103</v>
      </c>
      <c r="C38">
        <v>5112355057.4216003</v>
      </c>
      <c r="D38">
        <v>37</v>
      </c>
      <c r="E38" t="s">
        <v>104</v>
      </c>
    </row>
    <row r="39" spans="1:5">
      <c r="A39" s="1" t="s">
        <v>158</v>
      </c>
      <c r="B39" t="s">
        <v>159</v>
      </c>
      <c r="C39">
        <v>5000366483.5704002</v>
      </c>
      <c r="D39">
        <v>38</v>
      </c>
      <c r="E39" t="s">
        <v>157</v>
      </c>
    </row>
    <row r="40" spans="1:5">
      <c r="A40" t="s">
        <v>125</v>
      </c>
      <c r="B40" t="s">
        <v>126</v>
      </c>
      <c r="C40">
        <v>4974912743.9481001</v>
      </c>
      <c r="D40">
        <v>39</v>
      </c>
      <c r="E40" t="s">
        <v>127</v>
      </c>
    </row>
    <row r="41" spans="1:5">
      <c r="A41" s="2" t="s">
        <v>23</v>
      </c>
      <c r="B41" t="s">
        <v>18</v>
      </c>
      <c r="C41" s="2">
        <v>4789945480.2743998</v>
      </c>
      <c r="D41">
        <v>40</v>
      </c>
      <c r="E41" t="s">
        <v>73</v>
      </c>
    </row>
    <row r="42" spans="1:5">
      <c r="A42" s="2" t="s">
        <v>29</v>
      </c>
      <c r="B42" t="s">
        <v>27</v>
      </c>
      <c r="C42" s="2">
        <v>4649485328.0869999</v>
      </c>
      <c r="D42">
        <v>41</v>
      </c>
      <c r="E42" t="s">
        <v>68</v>
      </c>
    </row>
    <row r="43" spans="1:5">
      <c r="A43" t="s">
        <v>222</v>
      </c>
      <c r="B43" t="s">
        <v>211</v>
      </c>
      <c r="C43">
        <v>4520323086.0430002</v>
      </c>
      <c r="D43">
        <v>42</v>
      </c>
      <c r="E43" t="s">
        <v>210</v>
      </c>
    </row>
    <row r="44" spans="1:5">
      <c r="A44" s="2" t="s">
        <v>56</v>
      </c>
      <c r="B44" t="s">
        <v>95</v>
      </c>
      <c r="C44" s="2">
        <v>4488637447.8956003</v>
      </c>
      <c r="D44">
        <v>43</v>
      </c>
      <c r="E44" t="s">
        <v>55</v>
      </c>
    </row>
    <row r="45" spans="1:5">
      <c r="A45" t="s">
        <v>307</v>
      </c>
      <c r="B45" t="s">
        <v>277</v>
      </c>
      <c r="C45">
        <v>4024439648.3061996</v>
      </c>
      <c r="D45">
        <v>44</v>
      </c>
      <c r="E45" t="s">
        <v>278</v>
      </c>
    </row>
    <row r="46" spans="1:5">
      <c r="A46" t="s">
        <v>355</v>
      </c>
      <c r="B46" t="s">
        <v>343</v>
      </c>
      <c r="C46">
        <v>3983940786.6033998</v>
      </c>
      <c r="D46">
        <v>45</v>
      </c>
      <c r="E46" t="s">
        <v>342</v>
      </c>
    </row>
    <row r="47" spans="1:5">
      <c r="A47" t="s">
        <v>134</v>
      </c>
      <c r="B47" t="s">
        <v>135</v>
      </c>
      <c r="C47">
        <v>3568288075.0057998</v>
      </c>
      <c r="D47">
        <v>46</v>
      </c>
      <c r="E47" t="s">
        <v>136</v>
      </c>
    </row>
    <row r="48" spans="1:5">
      <c r="A48" t="s">
        <v>316</v>
      </c>
      <c r="B48" t="s">
        <v>296</v>
      </c>
      <c r="C48">
        <v>3294366116.388</v>
      </c>
      <c r="D48">
        <v>47</v>
      </c>
      <c r="E48" t="s">
        <v>297</v>
      </c>
    </row>
    <row r="49" spans="1:5">
      <c r="A49" t="s">
        <v>154</v>
      </c>
      <c r="B49" t="s">
        <v>155</v>
      </c>
      <c r="C49">
        <v>3205795883.7600999</v>
      </c>
      <c r="D49">
        <v>48</v>
      </c>
      <c r="E49" t="s">
        <v>153</v>
      </c>
    </row>
    <row r="50" spans="1:5">
      <c r="A50" s="2" t="s">
        <v>60</v>
      </c>
      <c r="B50" t="s">
        <v>59</v>
      </c>
      <c r="C50" s="2">
        <v>3064583390.4504004</v>
      </c>
      <c r="D50">
        <v>49</v>
      </c>
      <c r="E50" t="s">
        <v>71</v>
      </c>
    </row>
    <row r="51" spans="1:5">
      <c r="A51" t="s">
        <v>257</v>
      </c>
      <c r="B51" t="s">
        <v>252</v>
      </c>
      <c r="C51">
        <v>2989343699.4481001</v>
      </c>
      <c r="D51">
        <v>50</v>
      </c>
      <c r="E51" t="s">
        <v>251</v>
      </c>
    </row>
    <row r="52" spans="1:5">
      <c r="A52" t="s">
        <v>112</v>
      </c>
      <c r="B52" t="s">
        <v>113</v>
      </c>
      <c r="C52">
        <v>2975866486.4779997</v>
      </c>
      <c r="D52">
        <v>51</v>
      </c>
      <c r="E52" t="s">
        <v>114</v>
      </c>
    </row>
    <row r="53" spans="1:5">
      <c r="A53" s="2" t="s">
        <v>86</v>
      </c>
      <c r="B53" t="s">
        <v>84</v>
      </c>
      <c r="C53" s="2">
        <v>2867616571.618</v>
      </c>
      <c r="D53">
        <v>52</v>
      </c>
      <c r="E53" t="s">
        <v>85</v>
      </c>
    </row>
    <row r="54" spans="1:5">
      <c r="A54" s="2" t="s">
        <v>15</v>
      </c>
      <c r="B54" t="s">
        <v>11</v>
      </c>
      <c r="C54" s="2">
        <v>2815385616.2880998</v>
      </c>
      <c r="D54">
        <v>53</v>
      </c>
      <c r="E54" t="s">
        <v>74</v>
      </c>
    </row>
    <row r="55" spans="1:5">
      <c r="A55" s="2" t="s">
        <v>38</v>
      </c>
      <c r="B55" t="s">
        <v>37</v>
      </c>
      <c r="C55" s="2">
        <v>2767761338.3659997</v>
      </c>
      <c r="D55">
        <v>54</v>
      </c>
      <c r="E55" t="s">
        <v>65</v>
      </c>
    </row>
    <row r="56" spans="1:5">
      <c r="A56" t="s">
        <v>121</v>
      </c>
      <c r="B56" t="s">
        <v>122</v>
      </c>
      <c r="C56">
        <v>2704652190.8304</v>
      </c>
      <c r="D56">
        <v>55</v>
      </c>
      <c r="E56" t="s">
        <v>123</v>
      </c>
    </row>
    <row r="57" spans="1:5">
      <c r="A57" t="s">
        <v>89</v>
      </c>
      <c r="B57" t="s">
        <v>90</v>
      </c>
      <c r="C57">
        <v>2684402435.6294999</v>
      </c>
      <c r="D57">
        <v>56</v>
      </c>
      <c r="E57" t="s">
        <v>91</v>
      </c>
    </row>
    <row r="58" spans="1:5">
      <c r="A58" t="s">
        <v>201</v>
      </c>
      <c r="B58" t="s">
        <v>200</v>
      </c>
      <c r="C58">
        <v>2562373584.9094</v>
      </c>
      <c r="D58">
        <v>57</v>
      </c>
      <c r="E58" t="s">
        <v>199</v>
      </c>
    </row>
    <row r="59" spans="1:5">
      <c r="A59" t="s">
        <v>131</v>
      </c>
      <c r="B59" t="s">
        <v>137</v>
      </c>
      <c r="C59">
        <v>2438198599.6999998</v>
      </c>
      <c r="D59">
        <v>58</v>
      </c>
      <c r="E59" t="s">
        <v>133</v>
      </c>
    </row>
    <row r="60" spans="1:5">
      <c r="A60" t="s">
        <v>315</v>
      </c>
      <c r="B60" t="s">
        <v>294</v>
      </c>
      <c r="C60">
        <v>2387870974.3159003</v>
      </c>
      <c r="D60">
        <v>59</v>
      </c>
      <c r="E60" t="s">
        <v>295</v>
      </c>
    </row>
    <row r="61" spans="1:5">
      <c r="A61" t="s">
        <v>99</v>
      </c>
      <c r="B61" t="s">
        <v>100</v>
      </c>
      <c r="C61">
        <v>2365043985.2400002</v>
      </c>
      <c r="D61">
        <v>60</v>
      </c>
      <c r="E61" t="s">
        <v>101</v>
      </c>
    </row>
    <row r="62" spans="1:5">
      <c r="A62" t="s">
        <v>226</v>
      </c>
      <c r="B62" t="s">
        <v>225</v>
      </c>
      <c r="C62">
        <v>2275738060.4954</v>
      </c>
      <c r="D62">
        <v>61</v>
      </c>
      <c r="E62" t="s">
        <v>224</v>
      </c>
    </row>
    <row r="63" spans="1:5">
      <c r="A63" t="s">
        <v>308</v>
      </c>
      <c r="B63" t="s">
        <v>279</v>
      </c>
      <c r="C63">
        <v>2175231847.0046</v>
      </c>
      <c r="D63">
        <v>62</v>
      </c>
      <c r="E63" t="s">
        <v>280</v>
      </c>
    </row>
    <row r="64" spans="1:5">
      <c r="A64" s="2" t="s">
        <v>28</v>
      </c>
      <c r="B64" t="s">
        <v>26</v>
      </c>
      <c r="C64" s="2">
        <v>2033998416.918</v>
      </c>
      <c r="D64">
        <v>63</v>
      </c>
      <c r="E64" t="s">
        <v>66</v>
      </c>
    </row>
    <row r="65" spans="1:5">
      <c r="A65" t="s">
        <v>233</v>
      </c>
      <c r="B65" t="s">
        <v>232</v>
      </c>
      <c r="C65">
        <v>2028808277.8251998</v>
      </c>
      <c r="D65">
        <v>64</v>
      </c>
      <c r="E65" t="s">
        <v>231</v>
      </c>
    </row>
    <row r="66" spans="1:5">
      <c r="A66" t="s">
        <v>320</v>
      </c>
      <c r="B66" t="s">
        <v>304</v>
      </c>
      <c r="C66">
        <v>1969672521.0409</v>
      </c>
      <c r="D66">
        <v>65</v>
      </c>
      <c r="E66" t="s">
        <v>305</v>
      </c>
    </row>
    <row r="67" spans="1:5">
      <c r="A67" t="s">
        <v>348</v>
      </c>
      <c r="B67" t="s">
        <v>327</v>
      </c>
      <c r="C67">
        <v>1847913983.9860001</v>
      </c>
      <c r="D67">
        <v>66</v>
      </c>
      <c r="E67" t="s">
        <v>328</v>
      </c>
    </row>
    <row r="68" spans="1:5">
      <c r="A68" t="s">
        <v>105</v>
      </c>
      <c r="B68" t="s">
        <v>106</v>
      </c>
      <c r="C68">
        <v>1829400813.6629999</v>
      </c>
      <c r="D68">
        <v>67</v>
      </c>
      <c r="E68" t="s">
        <v>107</v>
      </c>
    </row>
    <row r="69" spans="1:5">
      <c r="A69" t="s">
        <v>92</v>
      </c>
      <c r="B69" t="s">
        <v>93</v>
      </c>
      <c r="C69">
        <v>1774291968.7695999</v>
      </c>
      <c r="D69">
        <v>68</v>
      </c>
      <c r="E69" t="s">
        <v>94</v>
      </c>
    </row>
    <row r="70" spans="1:5">
      <c r="A70" t="s">
        <v>108</v>
      </c>
      <c r="B70" t="s">
        <v>109</v>
      </c>
      <c r="C70">
        <v>1741705262.2902</v>
      </c>
      <c r="D70">
        <v>69</v>
      </c>
      <c r="E70" t="s">
        <v>217</v>
      </c>
    </row>
    <row r="71" spans="1:5">
      <c r="A71" t="s">
        <v>220</v>
      </c>
      <c r="B71" t="s">
        <v>203</v>
      </c>
      <c r="C71">
        <v>1718464336.6305001</v>
      </c>
      <c r="D71">
        <v>70</v>
      </c>
      <c r="E71" t="s">
        <v>202</v>
      </c>
    </row>
    <row r="72" spans="1:5">
      <c r="A72" t="s">
        <v>221</v>
      </c>
      <c r="B72" t="s">
        <v>207</v>
      </c>
      <c r="C72">
        <v>1707315202.0895</v>
      </c>
      <c r="D72">
        <v>71</v>
      </c>
      <c r="E72" t="s">
        <v>206</v>
      </c>
    </row>
    <row r="73" spans="1:5">
      <c r="A73" t="s">
        <v>218</v>
      </c>
      <c r="B73" t="s">
        <v>214</v>
      </c>
      <c r="C73">
        <v>1620701418.313</v>
      </c>
      <c r="D73">
        <v>72</v>
      </c>
      <c r="E73" t="s">
        <v>219</v>
      </c>
    </row>
    <row r="74" spans="1:5">
      <c r="A74" t="s">
        <v>236</v>
      </c>
      <c r="B74" t="s">
        <v>234</v>
      </c>
      <c r="C74">
        <v>1549003164.9123001</v>
      </c>
      <c r="D74">
        <v>73</v>
      </c>
      <c r="E74" t="s">
        <v>235</v>
      </c>
    </row>
    <row r="75" spans="1:5">
      <c r="A75" t="s">
        <v>358</v>
      </c>
      <c r="B75" t="s">
        <v>339</v>
      </c>
      <c r="C75">
        <v>1511661218.3992</v>
      </c>
      <c r="D75">
        <v>74</v>
      </c>
      <c r="E75" t="s">
        <v>357</v>
      </c>
    </row>
    <row r="76" spans="1:5">
      <c r="A76" t="s">
        <v>350</v>
      </c>
      <c r="B76" t="s">
        <v>332</v>
      </c>
      <c r="C76">
        <v>1486153000.4560001</v>
      </c>
      <c r="D76">
        <v>75</v>
      </c>
      <c r="E76" t="s">
        <v>331</v>
      </c>
    </row>
    <row r="77" spans="1:5">
      <c r="A77" t="s">
        <v>239</v>
      </c>
      <c r="B77" t="s">
        <v>238</v>
      </c>
      <c r="C77">
        <v>1474651219.9895999</v>
      </c>
      <c r="D77">
        <v>76</v>
      </c>
      <c r="E77" t="s">
        <v>237</v>
      </c>
    </row>
    <row r="78" spans="1:5">
      <c r="A78" t="s">
        <v>322</v>
      </c>
      <c r="B78" t="s">
        <v>285</v>
      </c>
      <c r="C78">
        <v>1473652712.8281</v>
      </c>
      <c r="D78">
        <v>77</v>
      </c>
      <c r="E78" t="s">
        <v>321</v>
      </c>
    </row>
    <row r="79" spans="1:5">
      <c r="A79" t="s">
        <v>54</v>
      </c>
      <c r="B79" s="2" t="s">
        <v>53</v>
      </c>
      <c r="C79" s="2">
        <v>1462408197.0339</v>
      </c>
      <c r="D79">
        <v>78</v>
      </c>
      <c r="E79" t="s">
        <v>189</v>
      </c>
    </row>
    <row r="80" spans="1:5">
      <c r="A80" t="s">
        <v>363</v>
      </c>
      <c r="B80" t="s">
        <v>360</v>
      </c>
      <c r="C80">
        <v>1405329962.3720999</v>
      </c>
      <c r="D80">
        <v>79</v>
      </c>
      <c r="E80" t="s">
        <v>359</v>
      </c>
    </row>
    <row r="81" spans="1:5">
      <c r="A81" t="s">
        <v>306</v>
      </c>
      <c r="B81" t="s">
        <v>276</v>
      </c>
      <c r="C81">
        <v>1393743298.4018002</v>
      </c>
      <c r="D81">
        <v>80</v>
      </c>
      <c r="E81" t="s">
        <v>275</v>
      </c>
    </row>
    <row r="82" spans="1:5">
      <c r="A82" s="2" t="s">
        <v>16</v>
      </c>
      <c r="B82" t="s">
        <v>13</v>
      </c>
      <c r="C82" s="2">
        <v>1330866983.6061001</v>
      </c>
      <c r="D82">
        <v>81</v>
      </c>
      <c r="E82" t="s">
        <v>76</v>
      </c>
    </row>
    <row r="83" spans="1:5">
      <c r="A83" t="s">
        <v>195</v>
      </c>
      <c r="B83" t="s">
        <v>194</v>
      </c>
      <c r="C83">
        <v>1326196183.628</v>
      </c>
      <c r="D83">
        <v>82</v>
      </c>
      <c r="E83" t="s">
        <v>193</v>
      </c>
    </row>
    <row r="84" spans="1:5">
      <c r="A84" t="s">
        <v>138</v>
      </c>
      <c r="B84" t="s">
        <v>132</v>
      </c>
      <c r="C84">
        <v>1141019886.6308</v>
      </c>
      <c r="D84">
        <v>83</v>
      </c>
      <c r="E84" t="s">
        <v>139</v>
      </c>
    </row>
    <row r="85" spans="1:5">
      <c r="A85" t="s">
        <v>309</v>
      </c>
      <c r="B85" t="s">
        <v>281</v>
      </c>
      <c r="C85">
        <v>1057197232.3664</v>
      </c>
      <c r="D85">
        <v>84</v>
      </c>
      <c r="E85" t="s">
        <v>282</v>
      </c>
    </row>
    <row r="86" spans="1:5">
      <c r="A86" s="2" t="s">
        <v>14</v>
      </c>
      <c r="B86" t="s">
        <v>12</v>
      </c>
      <c r="C86" s="2">
        <v>1012993752.438</v>
      </c>
      <c r="D86">
        <v>85</v>
      </c>
      <c r="E86" t="s">
        <v>69</v>
      </c>
    </row>
    <row r="87" spans="1:5">
      <c r="A87" t="s">
        <v>317</v>
      </c>
      <c r="B87" t="s">
        <v>298</v>
      </c>
      <c r="C87">
        <v>922787509.02899992</v>
      </c>
      <c r="D87">
        <v>86</v>
      </c>
      <c r="E87" t="s">
        <v>299</v>
      </c>
    </row>
    <row r="88" spans="1:5">
      <c r="A88" s="2" t="s">
        <v>30</v>
      </c>
      <c r="B88" t="s">
        <v>25</v>
      </c>
      <c r="C88" s="2">
        <v>904114709.5237</v>
      </c>
      <c r="D88">
        <v>87</v>
      </c>
      <c r="E88" t="s">
        <v>75</v>
      </c>
    </row>
    <row r="89" spans="1:5">
      <c r="A89" s="2" t="s">
        <v>35</v>
      </c>
      <c r="B89" t="s">
        <v>36</v>
      </c>
      <c r="C89" s="2">
        <v>828114921.57690001</v>
      </c>
      <c r="D89">
        <v>88</v>
      </c>
      <c r="E89" t="s">
        <v>70</v>
      </c>
    </row>
    <row r="90" spans="1:5">
      <c r="A90" s="2" t="s">
        <v>34</v>
      </c>
      <c r="B90" t="s">
        <v>33</v>
      </c>
      <c r="C90" s="2">
        <v>814530410.52859998</v>
      </c>
      <c r="D90">
        <v>89</v>
      </c>
      <c r="E90" t="s">
        <v>80</v>
      </c>
    </row>
    <row r="91" spans="1:5">
      <c r="A91" s="2" t="s">
        <v>22</v>
      </c>
      <c r="B91" t="s">
        <v>17</v>
      </c>
      <c r="C91" s="2">
        <v>788657643.36600006</v>
      </c>
      <c r="D91">
        <v>90</v>
      </c>
      <c r="E91" t="s">
        <v>77</v>
      </c>
    </row>
    <row r="92" spans="1:5">
      <c r="A92" t="s">
        <v>265</v>
      </c>
      <c r="B92" t="s">
        <v>259</v>
      </c>
      <c r="C92">
        <v>785604703.23230004</v>
      </c>
      <c r="D92">
        <v>91</v>
      </c>
      <c r="E92" t="s">
        <v>260</v>
      </c>
    </row>
    <row r="93" spans="1:5">
      <c r="A93" t="s">
        <v>258</v>
      </c>
      <c r="B93" t="s">
        <v>254</v>
      </c>
      <c r="C93">
        <v>735080287.24820006</v>
      </c>
      <c r="D93">
        <v>92</v>
      </c>
      <c r="E93" t="s">
        <v>253</v>
      </c>
    </row>
    <row r="94" spans="1:5">
      <c r="A94" t="s">
        <v>356</v>
      </c>
      <c r="B94" t="s">
        <v>344</v>
      </c>
      <c r="C94">
        <v>731969360.61450005</v>
      </c>
      <c r="D94">
        <v>93</v>
      </c>
      <c r="E94" t="s">
        <v>345</v>
      </c>
    </row>
    <row r="95" spans="1:5">
      <c r="A95" t="s">
        <v>256</v>
      </c>
      <c r="B95" t="s">
        <v>250</v>
      </c>
      <c r="C95">
        <v>604354174.199</v>
      </c>
      <c r="D95">
        <v>94</v>
      </c>
      <c r="E95" t="s">
        <v>249</v>
      </c>
    </row>
    <row r="96" spans="1:5">
      <c r="A96" t="s">
        <v>354</v>
      </c>
      <c r="B96" t="s">
        <v>341</v>
      </c>
      <c r="C96">
        <v>588790634.83290005</v>
      </c>
      <c r="D96">
        <v>95</v>
      </c>
      <c r="E96" t="s">
        <v>340</v>
      </c>
    </row>
    <row r="97" spans="1:5">
      <c r="A97" s="2" t="s">
        <v>21</v>
      </c>
      <c r="B97" t="s">
        <v>19</v>
      </c>
      <c r="C97" s="2">
        <v>578052250.2536</v>
      </c>
      <c r="D97">
        <v>96</v>
      </c>
      <c r="E97" t="s">
        <v>78</v>
      </c>
    </row>
    <row r="98" spans="1:5">
      <c r="A98" s="2" t="s">
        <v>58</v>
      </c>
      <c r="B98" t="s">
        <v>57</v>
      </c>
      <c r="C98" s="2">
        <v>497039578.3944</v>
      </c>
      <c r="D98">
        <v>97</v>
      </c>
      <c r="E98" t="s">
        <v>140</v>
      </c>
    </row>
    <row r="99" spans="1:5">
      <c r="A99" t="s">
        <v>255</v>
      </c>
      <c r="B99" t="s">
        <v>248</v>
      </c>
      <c r="C99">
        <v>475802094.84500003</v>
      </c>
      <c r="D99">
        <v>98</v>
      </c>
      <c r="E99" t="s">
        <v>247</v>
      </c>
    </row>
    <row r="100" spans="1:5">
      <c r="A100" t="s">
        <v>372</v>
      </c>
      <c r="B100" t="s">
        <v>369</v>
      </c>
      <c r="C100">
        <v>472702767.07350004</v>
      </c>
      <c r="D100">
        <v>99</v>
      </c>
      <c r="E100" t="s">
        <v>370</v>
      </c>
    </row>
    <row r="101" spans="1:5">
      <c r="A101" s="2" t="s">
        <v>39</v>
      </c>
      <c r="B101" s="2" t="s">
        <v>40</v>
      </c>
      <c r="C101" s="2">
        <v>416248026.13819999</v>
      </c>
      <c r="D101">
        <v>100</v>
      </c>
      <c r="E101" t="s">
        <v>72</v>
      </c>
    </row>
    <row r="102" spans="1:5">
      <c r="A102" t="s">
        <v>192</v>
      </c>
      <c r="B102" t="s">
        <v>191</v>
      </c>
      <c r="C102">
        <v>339751730.19199997</v>
      </c>
      <c r="D102">
        <v>101</v>
      </c>
      <c r="E102" t="s">
        <v>190</v>
      </c>
    </row>
    <row r="103" spans="1:5">
      <c r="A103" t="s">
        <v>310</v>
      </c>
      <c r="B103" t="s">
        <v>283</v>
      </c>
      <c r="C103">
        <v>338613037.25999999</v>
      </c>
      <c r="D103">
        <v>102</v>
      </c>
      <c r="E103" t="s">
        <v>284</v>
      </c>
    </row>
    <row r="104" spans="1:5">
      <c r="A104" t="s">
        <v>273</v>
      </c>
      <c r="B104" t="s">
        <v>271</v>
      </c>
      <c r="C104">
        <v>301099244.43589997</v>
      </c>
      <c r="D104">
        <v>103</v>
      </c>
      <c r="E104" t="s">
        <v>272</v>
      </c>
    </row>
    <row r="105" spans="1:5">
      <c r="A105" t="s">
        <v>115</v>
      </c>
      <c r="B105" t="s">
        <v>116</v>
      </c>
      <c r="C105">
        <v>292144414.111</v>
      </c>
      <c r="D105">
        <v>104</v>
      </c>
      <c r="E105" t="s">
        <v>117</v>
      </c>
    </row>
    <row r="106" spans="1:5">
      <c r="A106" t="s">
        <v>311</v>
      </c>
      <c r="B106" t="s">
        <v>287</v>
      </c>
      <c r="C106">
        <v>291495460.43599999</v>
      </c>
      <c r="D106">
        <v>105</v>
      </c>
      <c r="E106" t="s">
        <v>286</v>
      </c>
    </row>
    <row r="107" spans="1:5">
      <c r="A107" s="2" t="s">
        <v>52</v>
      </c>
      <c r="B107" t="s">
        <v>51</v>
      </c>
      <c r="C107" s="2">
        <v>219368910.0244</v>
      </c>
      <c r="D107">
        <v>106</v>
      </c>
      <c r="E107" t="s">
        <v>79</v>
      </c>
    </row>
    <row r="108" spans="1:5">
      <c r="A108" t="s">
        <v>347</v>
      </c>
      <c r="B108" t="s">
        <v>325</v>
      </c>
      <c r="C108">
        <v>187366809.92559999</v>
      </c>
      <c r="D108">
        <v>107</v>
      </c>
      <c r="E108" t="s">
        <v>326</v>
      </c>
    </row>
    <row r="109" spans="1:5">
      <c r="A109" t="s">
        <v>349</v>
      </c>
      <c r="B109" t="s">
        <v>329</v>
      </c>
      <c r="C109">
        <v>162255780.859</v>
      </c>
      <c r="D109">
        <v>108</v>
      </c>
      <c r="E109" t="s">
        <v>330</v>
      </c>
    </row>
    <row r="110" spans="1:5">
      <c r="A110" t="s">
        <v>266</v>
      </c>
      <c r="B110" t="s">
        <v>262</v>
      </c>
      <c r="C110">
        <v>134108605.74959999</v>
      </c>
      <c r="D110">
        <v>109</v>
      </c>
      <c r="E110" t="s">
        <v>261</v>
      </c>
    </row>
    <row r="111" spans="1:5">
      <c r="A111" s="2" t="s">
        <v>246</v>
      </c>
      <c r="B111" t="s">
        <v>244</v>
      </c>
      <c r="C111">
        <v>94986258.356999993</v>
      </c>
      <c r="D111">
        <v>110</v>
      </c>
      <c r="E111" t="s">
        <v>245</v>
      </c>
    </row>
    <row r="112" spans="1:5">
      <c r="A112" t="s">
        <v>313</v>
      </c>
      <c r="B112" t="s">
        <v>290</v>
      </c>
      <c r="C112">
        <v>52046283.337499999</v>
      </c>
      <c r="D112">
        <v>111</v>
      </c>
      <c r="E112" t="s">
        <v>291</v>
      </c>
    </row>
    <row r="113" spans="1:5">
      <c r="A113" t="s">
        <v>364</v>
      </c>
      <c r="B113" t="s">
        <v>362</v>
      </c>
      <c r="C113">
        <v>26081238.631999999</v>
      </c>
      <c r="D113">
        <v>112</v>
      </c>
      <c r="E113" t="s">
        <v>361</v>
      </c>
    </row>
    <row r="114" spans="1:5">
      <c r="A114" t="s">
        <v>314</v>
      </c>
      <c r="B114" t="s">
        <v>292</v>
      </c>
      <c r="C114">
        <v>19552069.427999999</v>
      </c>
      <c r="D114">
        <v>113</v>
      </c>
      <c r="E114" t="s">
        <v>293</v>
      </c>
    </row>
  </sheetData>
  <autoFilter ref="A1:E1" xr:uid="{F35CEFC1-B3C5-47E8-B313-C5CF74631A2D}">
    <sortState xmlns:xlrd2="http://schemas.microsoft.com/office/spreadsheetml/2017/richdata2" ref="A2:E11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A5"/>
  <sheetViews>
    <sheetView workbookViewId="0">
      <selection activeCell="A12" sqref="A12"/>
    </sheetView>
  </sheetViews>
  <sheetFormatPr defaultRowHeight="15"/>
  <cols>
    <col min="1" max="1" width="26.5703125" bestFit="1" customWidth="1"/>
  </cols>
  <sheetData>
    <row r="1" spans="1:1">
      <c r="A1" s="4" t="s">
        <v>365</v>
      </c>
    </row>
    <row r="2" spans="1:1">
      <c r="A2" s="54">
        <v>23657877458589</v>
      </c>
    </row>
    <row r="4" spans="1:1">
      <c r="A4" s="55">
        <v>45673</v>
      </c>
    </row>
    <row r="5" spans="1:1">
      <c r="A5" s="54">
        <v>23657877458589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R115"/>
  <sheetViews>
    <sheetView topLeftCell="O1" zoomScale="55" zoomScaleNormal="55" workbookViewId="0">
      <selection activeCell="H113" sqref="H113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4.7109375" bestFit="1" customWidth="1"/>
    <col min="35" max="36" width="16" bestFit="1" customWidth="1"/>
    <col min="37" max="37" width="14.7109375" bestFit="1" customWidth="1"/>
    <col min="38" max="39" width="16" bestFit="1" customWidth="1"/>
    <col min="40" max="40" width="14.7109375" bestFit="1" customWidth="1"/>
    <col min="41" max="42" width="19.42578125" bestFit="1" customWidth="1"/>
    <col min="44" max="44" width="18" bestFit="1" customWidth="1"/>
  </cols>
  <sheetData>
    <row r="1" spans="1:42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</row>
    <row r="2" spans="1:42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</row>
    <row r="3" spans="1:42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 s="15">
        <v>7002133437.3093996</v>
      </c>
      <c r="AP3" s="16">
        <f>SUM($AN$3+$AO$3)</f>
        <v>7881102775.3093996</v>
      </c>
    </row>
    <row r="4" spans="1:42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 s="15">
        <v>16397061244.7616</v>
      </c>
      <c r="AP4" s="16">
        <f>SUM($AN$4+$AO$4)</f>
        <v>17818048942.7616</v>
      </c>
    </row>
    <row r="5" spans="1:42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 s="15">
        <v>22640283131.315201</v>
      </c>
      <c r="AP5" s="16">
        <f>SUM($AN$5+$AO$5)</f>
        <v>24457087003.315201</v>
      </c>
    </row>
    <row r="6" spans="1:42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 s="15">
        <v>2288848857.6295004</v>
      </c>
      <c r="AP6" s="16">
        <f>SUM($AN$6+$AO$6)</f>
        <v>2672272738.6295004</v>
      </c>
    </row>
    <row r="7" spans="1:42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 s="15">
        <v>2718050126.7601004</v>
      </c>
      <c r="AP7" s="16">
        <f>SUM($AN$7+$AO$7)</f>
        <v>3187010965.7601004</v>
      </c>
    </row>
    <row r="8" spans="1:42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 s="15">
        <v>5759515868.8464003</v>
      </c>
      <c r="AP8" s="16">
        <f>SUM($AN$8+$AO$8)</f>
        <v>6556835192.8464003</v>
      </c>
    </row>
    <row r="9" spans="1:42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 s="15">
        <v>5147190371.0705996</v>
      </c>
      <c r="AP9" s="16">
        <f>SUM($AN$9+$AO$9)</f>
        <v>5854678773.0705996</v>
      </c>
    </row>
    <row r="10" spans="1:42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 s="15">
        <v>4382386799.4215994</v>
      </c>
      <c r="AP10" s="16">
        <f>SUM($AN$10+$AO$10)</f>
        <v>5059810097.4215994</v>
      </c>
    </row>
    <row r="11" spans="1:42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 s="15">
        <v>666520086.5237</v>
      </c>
      <c r="AP11" s="16">
        <f>SUM($AN$11+$AO$11)</f>
        <v>898296727.5237</v>
      </c>
    </row>
    <row r="12" spans="1:42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 s="15">
        <v>1688261790.918</v>
      </c>
      <c r="AP12" s="16">
        <f>SUM($AN$12+$AO$12)</f>
        <v>2019423381.918</v>
      </c>
    </row>
    <row r="13" spans="1:42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 s="15">
        <v>16435408613.047501</v>
      </c>
      <c r="AP13" s="16">
        <f>SUM($AN$13+$AO$13)</f>
        <v>17921820838.047501</v>
      </c>
    </row>
    <row r="14" spans="1:42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 s="15">
        <v>1246298432.313</v>
      </c>
      <c r="AP14" s="16">
        <f>SUM($AN$14+$AO$14)</f>
        <v>1611033121.313</v>
      </c>
    </row>
    <row r="15" spans="1:42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 s="15">
        <v>2278095379.8304</v>
      </c>
      <c r="AP15" s="16">
        <f>SUM($AN$15+$AO$15)</f>
        <v>2660544323.8304</v>
      </c>
    </row>
    <row r="16" spans="1:42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 s="15">
        <v>137682658.0244</v>
      </c>
      <c r="AP16" s="16">
        <f>SUM($AN$16+$AO$16)</f>
        <v>215831516.0244</v>
      </c>
    </row>
    <row r="17" spans="2:42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 s="15">
        <v>4702529638.6848001</v>
      </c>
      <c r="AP17" s="16">
        <f>SUM($AN$17+$AO$17)</f>
        <v>5373256006.6848001</v>
      </c>
    </row>
    <row r="18" spans="2:42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 s="15">
        <v>600599316.36600006</v>
      </c>
      <c r="AP18" s="16">
        <f>SUM($AN$18+$AO$18)</f>
        <v>788509746.36600006</v>
      </c>
    </row>
    <row r="19" spans="2:42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 s="15">
        <v>12953274156.305601</v>
      </c>
      <c r="AP19" s="16">
        <f>SUM($AN$19+$AO$19)</f>
        <v>14151674918.305601</v>
      </c>
    </row>
    <row r="20" spans="2:42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 s="15">
        <v>4305872984.9481001</v>
      </c>
      <c r="AP20" s="16">
        <f>SUM($AN$20+$AO$20)</f>
        <v>4974912743.9481001</v>
      </c>
    </row>
    <row r="21" spans="2:42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 s="15">
        <v>18400805532.767403</v>
      </c>
      <c r="AP21" s="16">
        <f>SUM($AN$21+$AO$21)</f>
        <v>19844651450.767403</v>
      </c>
    </row>
    <row r="22" spans="2:42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 s="15">
        <v>4743233336.7090006</v>
      </c>
      <c r="AP22" s="16">
        <f>SUM($AN$22+$AO$22)</f>
        <v>5430807930.7090006</v>
      </c>
    </row>
    <row r="23" spans="2:42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 s="15">
        <v>1470165258.6630001</v>
      </c>
      <c r="AP23" s="16">
        <f>SUM($AN$23+$AO$23)</f>
        <v>1818826563.6630001</v>
      </c>
    </row>
    <row r="24" spans="2:42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 s="15">
        <v>4323894724.5704002</v>
      </c>
      <c r="AP24" s="16">
        <f>SUM($AN$24+$AO$24)</f>
        <v>4967829722.5704002</v>
      </c>
    </row>
    <row r="25" spans="2:42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 s="15">
        <v>8271445010.6868</v>
      </c>
      <c r="AP25" s="16">
        <f>SUM($AN$25+$AO$25)</f>
        <v>9251172228.6868</v>
      </c>
    </row>
    <row r="26" spans="2:42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 s="15">
        <v>612325268.52859998</v>
      </c>
      <c r="AP26" s="16">
        <f>SUM($AN$26+$AO$26)</f>
        <v>809201761.52859998</v>
      </c>
    </row>
    <row r="27" spans="2:42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 s="15">
        <v>2486488355.4503999</v>
      </c>
      <c r="AP27" s="16">
        <f>SUM($AN$27+$AO$27)</f>
        <v>3013097067.4503999</v>
      </c>
    </row>
    <row r="28" spans="2:42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 s="15">
        <v>3022501460.0058002</v>
      </c>
      <c r="AP28" s="16">
        <f>SUM($AN$28+$AO$28)</f>
        <v>3519247583.0058002</v>
      </c>
    </row>
    <row r="29" spans="2:42">
      <c r="B29" s="2" t="s">
        <v>50</v>
      </c>
      <c r="C29" s="2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 s="15">
        <v>5781470553.9432001</v>
      </c>
      <c r="AP29" s="16">
        <f>SUM($AN$29+$AO$29)</f>
        <v>6617039774.9432001</v>
      </c>
    </row>
    <row r="30" spans="2:42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 s="15">
        <v>8820331130.4708004</v>
      </c>
      <c r="AP30" s="16">
        <f>SUM($AN$30+$AO$30)</f>
        <v>9786000902.4708004</v>
      </c>
    </row>
    <row r="31" spans="2:42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 s="15">
        <v>2004491131.24</v>
      </c>
      <c r="AP31" s="16">
        <f>SUM($AN$31+$AO$31)</f>
        <v>2352553491.2399998</v>
      </c>
    </row>
    <row r="32" spans="2:42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 s="15">
        <v>2328676177.3659997</v>
      </c>
      <c r="AP32" s="16">
        <f>SUM($AN$32+$AO$32)</f>
        <v>2739341229.3659997</v>
      </c>
    </row>
    <row r="33" spans="2:42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 s="15">
        <v>2526532967.4780002</v>
      </c>
      <c r="AP33" s="16">
        <f>SUM($AN$33+$AO$33)</f>
        <v>2942697185.4780002</v>
      </c>
    </row>
    <row r="34" spans="2:42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 s="15">
        <v>4098917333.2744002</v>
      </c>
      <c r="AP34" s="16">
        <f>SUM($AN$34+$AO$34)</f>
        <v>4749157245.2744007</v>
      </c>
    </row>
    <row r="35" spans="2:42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 s="15">
        <v>5625529779.9359999</v>
      </c>
      <c r="AP35" s="16">
        <f>SUM($AN$35+$AO$35)</f>
        <v>6485097939.9359999</v>
      </c>
    </row>
    <row r="36" spans="2:42">
      <c r="B36" s="2" t="s">
        <v>39</v>
      </c>
      <c r="C36" s="2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 s="15">
        <v>306716282.13819999</v>
      </c>
      <c r="AP36" s="16">
        <f>SUM($AN$36+$AO$36)</f>
        <v>416246076.13819999</v>
      </c>
    </row>
    <row r="37" spans="2:42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 s="15">
        <v>2036354385.6999998</v>
      </c>
      <c r="AP37" s="16">
        <f>SUM($AN$37+$AO$37)</f>
        <v>2417837035.6999998</v>
      </c>
    </row>
    <row r="38" spans="2:42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 s="15">
        <v>407544140.2536</v>
      </c>
      <c r="AP38" s="16">
        <f>SUM($AN$38+$AO$38)</f>
        <v>572849624.2536</v>
      </c>
    </row>
    <row r="39" spans="2:42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 s="15">
        <v>1373326667.2902</v>
      </c>
      <c r="AP39" s="16">
        <f>SUM($AN$39+$AO$39)</f>
        <v>1719680269.2902</v>
      </c>
    </row>
    <row r="40" spans="2:42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 s="15">
        <v>1030707322.6061</v>
      </c>
      <c r="AP40" s="16">
        <f>SUM($AN$40+$AO$40)</f>
        <v>1314969801.6061001</v>
      </c>
    </row>
    <row r="41" spans="2:42">
      <c r="B41" t="s">
        <v>54</v>
      </c>
      <c r="C41" s="2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 s="15">
        <v>1108037582.0339</v>
      </c>
      <c r="AP41" s="16">
        <f>SUM($AN$41+$AO$41)</f>
        <v>1427605425.0339</v>
      </c>
    </row>
    <row r="42" spans="2:42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 s="15">
        <v>843448216.63080013</v>
      </c>
      <c r="AP42" s="16">
        <f>SUM($AN$42+$AO$42)</f>
        <v>1128483604.6308002</v>
      </c>
    </row>
    <row r="43" spans="2:42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 s="15">
        <v>341523948.3944</v>
      </c>
      <c r="AP43" s="16">
        <f>SUM($AN$43+$AO$43)</f>
        <v>491895535.3944</v>
      </c>
    </row>
    <row r="44" spans="2:42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 s="15">
        <v>2442681125.618</v>
      </c>
      <c r="AP44" s="16">
        <f>SUM($AN$44+$AO$44)</f>
        <v>2846857630.618</v>
      </c>
    </row>
    <row r="45" spans="2:42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 s="15">
        <v>4953866696.5271997</v>
      </c>
      <c r="AP45" s="16">
        <f>SUM($AN$45+$AO$45)</f>
        <v>5713452500.5271997</v>
      </c>
    </row>
    <row r="46" spans="2:42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 s="15">
        <v>774425965.43800008</v>
      </c>
      <c r="AP46" s="16">
        <f>SUM($AN$46+$AO$46)</f>
        <v>994714961.43800008</v>
      </c>
    </row>
    <row r="47" spans="2:42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 s="15">
        <v>3978965664.0869999</v>
      </c>
      <c r="AP47" s="16">
        <f>SUM($AN$47+$AO$47)</f>
        <v>4600048262.0869999</v>
      </c>
    </row>
    <row r="48" spans="2:42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 s="15">
        <v>6194864707.0464001</v>
      </c>
      <c r="AP48" s="16">
        <f>SUM($AN$48+$AO$48)</f>
        <v>7090775491.0464001</v>
      </c>
    </row>
    <row r="49" spans="2:42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 s="15">
        <v>12103082905.725</v>
      </c>
      <c r="AP49" s="16">
        <f>SUM($AN$49+$AO$49)</f>
        <v>13293042880.725</v>
      </c>
    </row>
    <row r="50" spans="2:42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 s="15">
        <v>1436122319.7695999</v>
      </c>
      <c r="AP50" s="16">
        <f>SUM($AN$50+$AO$50)</f>
        <v>1758527653.7695999</v>
      </c>
    </row>
    <row r="51" spans="2:42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 s="15">
        <v>18773350060.147202</v>
      </c>
      <c r="AP51" s="16">
        <f>SUM($AN$51+$AO$51)</f>
        <v>20351685248.147202</v>
      </c>
    </row>
    <row r="52" spans="2:42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 s="15">
        <v>6117821280.8207998</v>
      </c>
      <c r="AP52" s="16">
        <f>SUM($AN$52+$AO$52)</f>
        <v>6927763992.8207998</v>
      </c>
    </row>
    <row r="53" spans="2:42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 s="15">
        <v>620507463.57690001</v>
      </c>
      <c r="AP53" s="16">
        <f>SUM($AN$53+$AO$53)</f>
        <v>818266160.57690001</v>
      </c>
    </row>
    <row r="54" spans="2:42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 s="15">
        <v>168394278.111</v>
      </c>
      <c r="AP54" s="16">
        <f>SUM($AN$54+$AO$54)</f>
        <v>285676823.111</v>
      </c>
    </row>
    <row r="55" spans="2:42">
      <c r="B55" s="2" t="s">
        <v>46</v>
      </c>
      <c r="C55" s="2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 s="15">
        <v>9048967873.669199</v>
      </c>
      <c r="AP55" s="16">
        <f>SUM($AN$55+$AO$55)</f>
        <v>10053225955.669199</v>
      </c>
    </row>
    <row r="56" spans="2:42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 s="15">
        <v>3839592122.8956003</v>
      </c>
      <c r="AP56" s="16">
        <f>SUM($AN$56+$AO$56)</f>
        <v>4445244233.8956003</v>
      </c>
    </row>
    <row r="57" spans="2:42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 s="15">
        <v>7389793921.7269001</v>
      </c>
      <c r="AP57" s="16">
        <f>SUM($AN$57+$AO$57)</f>
        <v>8246392922.7269001</v>
      </c>
    </row>
    <row r="58" spans="2:42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 s="15">
        <v>2321491758.2880998</v>
      </c>
      <c r="AP58" s="16">
        <f>SUM($AN$58+$AO$58)</f>
        <v>2802540217.2880998</v>
      </c>
    </row>
    <row r="59" spans="2:42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 s="15">
        <v>3881052543.0430002</v>
      </c>
      <c r="AP59" s="16">
        <f>SUM($AN$59+$AO$59)</f>
        <v>4498130888.0430002</v>
      </c>
    </row>
    <row r="60" spans="2:42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 s="15">
        <v>1802162012.4954002</v>
      </c>
      <c r="AP60" s="16">
        <f>SUM($AN$60+$AO$60)</f>
        <v>2238541985.4954004</v>
      </c>
    </row>
    <row r="61" spans="2:42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 s="15">
        <v>2075359205.9094</v>
      </c>
      <c r="AP61" s="16">
        <f>SUM($AN$61+$AO$61)</f>
        <v>2526024599.9094</v>
      </c>
    </row>
    <row r="62" spans="2:42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 s="15">
        <v>7822757787.0797997</v>
      </c>
      <c r="AP62" s="16">
        <f>SUM($AN$62+$AO$62)</f>
        <v>8878417853.0797997</v>
      </c>
    </row>
    <row r="63" spans="2:42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 s="15">
        <v>1024411775.6279999</v>
      </c>
      <c r="AP63" s="16">
        <f>SUM($AN$63+$AO$63)</f>
        <v>1308560165.6279998</v>
      </c>
    </row>
    <row r="64" spans="2:42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 s="15">
        <v>1340831923.6304998</v>
      </c>
      <c r="AP64" s="16">
        <f>SUM($AN$64+$AO$64)</f>
        <v>1702583420.6304998</v>
      </c>
    </row>
    <row r="65" spans="2:42">
      <c r="B65" t="s">
        <v>108</v>
      </c>
      <c r="C65" t="s">
        <v>207</v>
      </c>
      <c r="D65">
        <v>222907328</v>
      </c>
      <c r="E65">
        <v>669680485.51040006</v>
      </c>
      <c r="F65">
        <f t="shared" si="0"/>
        <v>892587813.51040006</v>
      </c>
      <c r="G65">
        <v>222907328</v>
      </c>
      <c r="H65">
        <v>669680485.51040006</v>
      </c>
      <c r="I65">
        <f t="shared" si="1"/>
        <v>892587813.51040006</v>
      </c>
      <c r="J65">
        <v>222907328</v>
      </c>
      <c r="K65">
        <v>669680485.51040006</v>
      </c>
      <c r="L65">
        <f t="shared" si="2"/>
        <v>892587813.51040006</v>
      </c>
      <c r="M65">
        <v>222907328</v>
      </c>
      <c r="N65">
        <v>669680485.51040006</v>
      </c>
      <c r="O65">
        <f t="shared" si="3"/>
        <v>892587813.51040006</v>
      </c>
      <c r="P65">
        <v>222907328</v>
      </c>
      <c r="Q65">
        <v>669680485.51040006</v>
      </c>
      <c r="R65">
        <f t="shared" si="4"/>
        <v>892587813.51040006</v>
      </c>
      <c r="S65">
        <v>222907328</v>
      </c>
      <c r="T65">
        <v>669680485.51040006</v>
      </c>
      <c r="U65">
        <f t="shared" si="5"/>
        <v>892587813.51040006</v>
      </c>
      <c r="V65">
        <v>222907328</v>
      </c>
      <c r="W65">
        <v>669680485.51040006</v>
      </c>
      <c r="X65">
        <f t="shared" si="6"/>
        <v>892587813.51040006</v>
      </c>
      <c r="Y65">
        <v>222907328</v>
      </c>
      <c r="Z65">
        <v>669680485.51040006</v>
      </c>
      <c r="AA65">
        <f t="shared" si="7"/>
        <v>892587813.51040006</v>
      </c>
      <c r="AB65">
        <v>222907328</v>
      </c>
      <c r="AC65">
        <v>669680485.51040006</v>
      </c>
      <c r="AD65">
        <f t="shared" si="8"/>
        <v>892587813.51040006</v>
      </c>
      <c r="AE65">
        <v>222907328</v>
      </c>
      <c r="AF65">
        <v>669680485.51040006</v>
      </c>
      <c r="AG65">
        <f t="shared" si="9"/>
        <v>892587813.51040006</v>
      </c>
      <c r="AH65">
        <v>245079418</v>
      </c>
      <c r="AI65">
        <v>795674838.47880006</v>
      </c>
      <c r="AJ65">
        <f>SUM($AH$65+$AI$65)</f>
        <v>1040754256.4788001</v>
      </c>
      <c r="AK65">
        <v>320982086</v>
      </c>
      <c r="AL65">
        <v>1236358798.8548</v>
      </c>
      <c r="AM65">
        <f>SUM($AK$65+$AL$65)</f>
        <v>1557340884.8548</v>
      </c>
      <c r="AN65">
        <v>346353602</v>
      </c>
      <c r="AO65" s="15">
        <v>1373326667.2902</v>
      </c>
      <c r="AP65" s="16">
        <f>SUM($AN$65+$AO$65)</f>
        <v>1719680269.2902</v>
      </c>
    </row>
    <row r="66" spans="2:42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 s="15">
        <v>5041562980.3037996</v>
      </c>
      <c r="AP66" s="16">
        <f>SUM($AN$66+$AO$66)</f>
        <v>5761611394.3037996</v>
      </c>
    </row>
    <row r="67" spans="2:42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 s="15">
        <v>196562261.19199997</v>
      </c>
      <c r="AP67" s="16">
        <f>SUM($AN$67+$AO$67)</f>
        <v>329025541.19199997</v>
      </c>
    </row>
    <row r="68" spans="2:42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 s="15">
        <v>5432529154.6442003</v>
      </c>
      <c r="AP68" s="16">
        <f>SUM($AN$68+$AO$68)</f>
        <v>6097091231.6442003</v>
      </c>
    </row>
    <row r="69" spans="2:42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 s="15">
        <v>1593308542.8252001</v>
      </c>
      <c r="AP69" s="16">
        <f>SUM($AN$69+$AO$69)</f>
        <v>2000533544.8252001</v>
      </c>
    </row>
    <row r="70" spans="2:42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 s="15">
        <v>1249790086.9122999</v>
      </c>
      <c r="AP70" s="16">
        <f>SUM($AN$70+$AO$70)</f>
        <v>1540756977.9122999</v>
      </c>
    </row>
    <row r="71" spans="2:42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 s="15">
        <v>1185598134.9895999</v>
      </c>
      <c r="AP71" s="16">
        <f>SUM($AN$71+$AO$71)</f>
        <v>1457536786.9895999</v>
      </c>
    </row>
    <row r="72" spans="2:42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 s="15">
        <v>13738244877.975201</v>
      </c>
      <c r="AP72" s="16">
        <f>SUM($AN$72+$AO$72)</f>
        <v>15142959029.975201</v>
      </c>
    </row>
    <row r="73" spans="2:42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 s="15">
        <v>52121256.357000001</v>
      </c>
      <c r="AP73" s="16">
        <f>SUM($AN$73+$AO$73)</f>
        <v>94966514.356999993</v>
      </c>
    </row>
    <row r="74" spans="2:42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 s="15">
        <v>316549786.54000002</v>
      </c>
      <c r="AP74" s="16">
        <f>SUM($AN$74+$AO$74)</f>
        <v>464470247.54000002</v>
      </c>
    </row>
    <row r="75" spans="2:42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 s="15">
        <v>444681579.199</v>
      </c>
      <c r="AP75" s="16">
        <f>SUM($AN$75+$AO$75)</f>
        <v>601248574.199</v>
      </c>
    </row>
    <row r="76" spans="2:42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 s="15">
        <v>2561245209.4481001</v>
      </c>
      <c r="AP76" s="16">
        <f>SUM($AN$76+$AO$76)</f>
        <v>2979742490.4481001</v>
      </c>
    </row>
    <row r="77" spans="2:42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 s="15">
        <v>560892773.24819994</v>
      </c>
      <c r="AP77" s="16">
        <f>SUM($AN$77+$AO$77)</f>
        <v>732011442.24819994</v>
      </c>
    </row>
    <row r="78" spans="2:42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 s="15">
        <v>503521548.23230004</v>
      </c>
      <c r="AP78" s="16">
        <f>SUM($AN$78+$AO$78)</f>
        <v>771195541.23230004</v>
      </c>
    </row>
    <row r="79" spans="2:42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 s="15">
        <v>64975375.749600001</v>
      </c>
      <c r="AP79" s="16">
        <f>SUM($AN$79+$AO$79)</f>
        <v>129898812.74959999</v>
      </c>
    </row>
    <row r="80" spans="2:42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 s="15">
        <v>6989684744.0787992</v>
      </c>
      <c r="AP80" s="16">
        <f>SUM($AN$80+$AO$80)</f>
        <v>8035387258.0787992</v>
      </c>
    </row>
    <row r="81" spans="2:42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 s="15">
        <v>10624347315.577801</v>
      </c>
      <c r="AP81" s="16">
        <f>SUM($AN$81+$AO$81)</f>
        <v>11715165126.577801</v>
      </c>
    </row>
    <row r="82" spans="2:42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 s="15">
        <v>190611082.4359</v>
      </c>
      <c r="AP82" s="16">
        <f>SUM($AN$82+$AO$82)</f>
        <v>297437895.43589997</v>
      </c>
    </row>
    <row r="83" spans="2:42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 s="15">
        <v>1010655858.4018</v>
      </c>
      <c r="AP83" s="16">
        <f>SUM($AN$83+$AO$83)</f>
        <v>1361127772.4018002</v>
      </c>
    </row>
    <row r="84" spans="2:42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 s="15">
        <v>3391492743.3061996</v>
      </c>
      <c r="AP84" s="16">
        <f>SUM($AN$84+$AO$84)</f>
        <v>3969200770.3061996</v>
      </c>
    </row>
    <row r="85" spans="2:42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 s="15">
        <v>1766834474.0046</v>
      </c>
      <c r="AP85" s="16">
        <f>SUM($AN$85+$AO$85)</f>
        <v>2161093963.0046</v>
      </c>
    </row>
    <row r="86" spans="2:42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 s="15">
        <v>763443404.3664</v>
      </c>
      <c r="AP86" s="16">
        <f>SUM($AN$86+$AO$86)</f>
        <v>1028086847.3664</v>
      </c>
    </row>
    <row r="87" spans="2:42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 s="15">
        <v>189103202.26000002</v>
      </c>
      <c r="AP87" s="16">
        <f>SUM($AN$87+$AO$87)</f>
        <v>324099777.25999999</v>
      </c>
    </row>
    <row r="88" spans="2:42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 s="15">
        <v>199684004.43599999</v>
      </c>
      <c r="AP88" s="16">
        <f>SUM($AN$88+$AO$88)</f>
        <v>289052069.43599999</v>
      </c>
    </row>
    <row r="89" spans="2:42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 s="15">
        <v>8533176546.9459</v>
      </c>
      <c r="AP89" s="16">
        <f>SUM($AN$89+$AO$89)</f>
        <v>9502073975.9459</v>
      </c>
    </row>
    <row r="90" spans="2:42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 s="15">
        <v>15448005.3375</v>
      </c>
      <c r="AP90" s="16">
        <f>SUM($AN$90+$AO$90)</f>
        <v>51583690.337499999</v>
      </c>
    </row>
    <row r="91" spans="2:42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 s="15">
        <v>7314474.4279999994</v>
      </c>
      <c r="AP91" s="16">
        <f>SUM($AN$91+$AO$91)</f>
        <v>19424531.427999999</v>
      </c>
    </row>
    <row r="92" spans="2:42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 s="15">
        <v>1997806059.3158998</v>
      </c>
      <c r="AP92" s="16">
        <f>SUM($AN$92+$AO$92)</f>
        <v>2380153968.3158998</v>
      </c>
    </row>
    <row r="93" spans="2:42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 s="15">
        <v>2745010502.388</v>
      </c>
      <c r="AP93" s="16">
        <f>SUM($AN$93+$AO$93)</f>
        <v>3252218651.388</v>
      </c>
    </row>
    <row r="94" spans="2:42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 s="15">
        <v>660336269.02900004</v>
      </c>
      <c r="AP94" s="16">
        <f>SUM($AN$94+$AO$94)</f>
        <v>913707564.02900004</v>
      </c>
    </row>
    <row r="95" spans="2:42">
      <c r="B95" s="2" t="s">
        <v>318</v>
      </c>
      <c r="C95" s="2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 s="15">
        <v>4532539447.6665001</v>
      </c>
      <c r="AP95" s="16">
        <f>SUM($AN$95+$AO$95)</f>
        <v>5249089830.6665001</v>
      </c>
    </row>
    <row r="96" spans="2:42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 s="15">
        <v>5265113196.8586006</v>
      </c>
      <c r="AP96" s="16">
        <f>SUM($AN$96+$AO$96)</f>
        <v>5937146637.8586006</v>
      </c>
    </row>
    <row r="97" spans="2:44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 s="15">
        <v>1549388887.0409</v>
      </c>
      <c r="AP97" s="16">
        <f>SUM($AN$97+$AO$97)</f>
        <v>1968108690.0409</v>
      </c>
    </row>
    <row r="98" spans="2:44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 s="15">
        <v>1120768865.8281</v>
      </c>
      <c r="AP98" s="16">
        <f>SUM($AN$98+$AO$98)</f>
        <v>1438528176.8281</v>
      </c>
    </row>
    <row r="99" spans="2:44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 s="15">
        <v>42042183026.346001</v>
      </c>
      <c r="AP99" s="16">
        <f>SUM($AN$99+$AO$99)</f>
        <v>45033125510.346001</v>
      </c>
      <c r="AR99" s="16"/>
    </row>
    <row r="100" spans="2:44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 s="15">
        <v>93993796.925600007</v>
      </c>
      <c r="AP100" s="16">
        <f>SUM($AN$100+$AO$100)</f>
        <v>181740059.92559999</v>
      </c>
    </row>
    <row r="101" spans="2:44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 s="15">
        <v>1409064862.9860001</v>
      </c>
      <c r="AP101" s="16">
        <f>SUM($AN$101+$AO$101)</f>
        <v>1797322567.9860001</v>
      </c>
    </row>
    <row r="102" spans="2:44">
      <c r="B102" s="2" t="s">
        <v>349</v>
      </c>
      <c r="C102" s="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 s="15">
        <v>92961918.858999997</v>
      </c>
      <c r="AP102" s="16">
        <f>SUM($AN$102+$AO$102)</f>
        <v>159625180.859</v>
      </c>
    </row>
    <row r="103" spans="2:44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 s="15">
        <v>1166180085.4560001</v>
      </c>
      <c r="AP103" s="16">
        <f>SUM($AN$103+$AO$103)</f>
        <v>1472183781.4560001</v>
      </c>
    </row>
    <row r="104" spans="2:44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 s="15">
        <v>6300031177.1664</v>
      </c>
      <c r="AP104" s="16">
        <f>SUM($AN$104+$AO$104)</f>
        <v>7122135385.1664</v>
      </c>
    </row>
    <row r="105" spans="2:44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 s="15">
        <v>18492160296.459198</v>
      </c>
      <c r="AP105" s="16">
        <f>SUM($AN$105+$AO$105)</f>
        <v>20094156302.459198</v>
      </c>
    </row>
    <row r="106" spans="2:44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 s="15">
        <v>5246032908.9750004</v>
      </c>
      <c r="AP106" s="16">
        <f>SUM($AN$106+$AO$106)</f>
        <v>5956155806.9750004</v>
      </c>
    </row>
    <row r="107" spans="2:44">
      <c r="B107" t="s">
        <v>358</v>
      </c>
      <c r="C107" s="2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 s="15">
        <v>1185066697.3992</v>
      </c>
      <c r="AP107" s="16">
        <f>SUM($AN$107+$AO$107)</f>
        <v>1490433296.3992</v>
      </c>
    </row>
    <row r="108" spans="2:44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 s="15">
        <v>381765994.83290005</v>
      </c>
      <c r="AP108" s="16">
        <f>SUM($AN$108+$AO$108)</f>
        <v>568805333.83290005</v>
      </c>
    </row>
    <row r="109" spans="2:44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 s="15">
        <v>3312447192.6033998</v>
      </c>
      <c r="AP109" s="16">
        <f>SUM($AN$109+$AO$109)</f>
        <v>3941687569.6033998</v>
      </c>
    </row>
    <row r="110" spans="2:44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 s="15">
        <v>520034042.61450005</v>
      </c>
      <c r="AP110" s="16">
        <f>SUM($AN$110+$AO$110)</f>
        <v>718104521.61450005</v>
      </c>
    </row>
    <row r="111" spans="2:44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 s="15">
        <v>1084893738.3721001</v>
      </c>
      <c r="AP111" s="16">
        <f>SUM($AN$111+$AO$111)</f>
        <v>1390989085.3721001</v>
      </c>
    </row>
    <row r="112" spans="2:44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 s="15">
        <v>7344432.6319999993</v>
      </c>
      <c r="AP112" s="16">
        <f>SUM($AN$112+$AO$112)</f>
        <v>25301480.631999999</v>
      </c>
    </row>
    <row r="113" spans="2:42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</row>
    <row r="114" spans="2:42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</row>
    <row r="115" spans="2:42">
      <c r="B115" s="1" t="s">
        <v>372</v>
      </c>
      <c r="C115" t="s">
        <v>369</v>
      </c>
      <c r="D115">
        <v>152030685</v>
      </c>
      <c r="E115">
        <v>315174813.07349998</v>
      </c>
      <c r="F115">
        <f>SUM($D$115+$E$115)</f>
        <v>467205498.07349998</v>
      </c>
      <c r="G115">
        <v>152030685</v>
      </c>
      <c r="H115">
        <v>315174813.07349998</v>
      </c>
      <c r="I115">
        <f t="shared" ref="I115" si="502">SUM($D$115+$E$115)</f>
        <v>467205498.07349998</v>
      </c>
      <c r="J115">
        <v>152030685</v>
      </c>
      <c r="K115">
        <v>315174813.07349998</v>
      </c>
      <c r="L115">
        <f t="shared" ref="L115" si="503">SUM($D$115+$E$115)</f>
        <v>467205498.07349998</v>
      </c>
      <c r="M115">
        <v>152030685</v>
      </c>
      <c r="N115">
        <v>315174813.07349998</v>
      </c>
      <c r="O115">
        <f t="shared" ref="O115" si="504">SUM($D$115+$E$115)</f>
        <v>467205498.07349998</v>
      </c>
      <c r="P115">
        <v>152030685</v>
      </c>
      <c r="Q115">
        <v>315174813.07349998</v>
      </c>
      <c r="R115">
        <f t="shared" ref="R115" si="505">SUM($D$115+$E$115)</f>
        <v>467205498.07349998</v>
      </c>
      <c r="S115">
        <v>152030685</v>
      </c>
      <c r="T115">
        <v>315174813.07349998</v>
      </c>
      <c r="U115">
        <f t="shared" ref="U115" si="506">SUM($D$115+$E$115)</f>
        <v>467205498.07349998</v>
      </c>
      <c r="V115">
        <v>152030685</v>
      </c>
      <c r="W115">
        <v>315174813.07349998</v>
      </c>
      <c r="X115">
        <f t="shared" ref="X115" si="507">SUM($D$115+$E$115)</f>
        <v>467205498.07349998</v>
      </c>
      <c r="Y115">
        <v>152030685</v>
      </c>
      <c r="Z115">
        <v>315174813.07349998</v>
      </c>
      <c r="AA115">
        <f t="shared" ref="AA115" si="508">SUM($D$115+$E$115)</f>
        <v>467205498.07349998</v>
      </c>
      <c r="AB115">
        <v>152030685</v>
      </c>
      <c r="AC115">
        <v>315174813.07349998</v>
      </c>
      <c r="AD115">
        <f t="shared" ref="AD115" si="509">SUM($D$115+$E$115)</f>
        <v>467205498.07349998</v>
      </c>
      <c r="AE115">
        <v>152030685</v>
      </c>
      <c r="AF115">
        <v>315174813.07349998</v>
      </c>
      <c r="AG115">
        <f t="shared" ref="AG115" si="510">SUM($D$115+$E$115)</f>
        <v>467205498.07349998</v>
      </c>
      <c r="AH115">
        <v>152030685</v>
      </c>
      <c r="AI115">
        <v>315174813.07349998</v>
      </c>
      <c r="AJ115">
        <f t="shared" ref="AJ115" si="511">SUM($D$115+$E$115)</f>
        <v>467205498.07349998</v>
      </c>
      <c r="AK115">
        <v>152030685</v>
      </c>
      <c r="AL115">
        <v>315174813.07349998</v>
      </c>
      <c r="AM115">
        <f t="shared" ref="AM115" si="512">SUM($D$115+$E$115)</f>
        <v>467205498.07349998</v>
      </c>
      <c r="AN115">
        <v>152030685</v>
      </c>
      <c r="AO115">
        <v>315174813.07349998</v>
      </c>
      <c r="AP115">
        <f t="shared" ref="AP115" si="513">SUM($D$115+$E$115)</f>
        <v>467205498.07349998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373</v>
      </c>
      <c r="B2" s="7" t="s">
        <v>374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4" sqref="A4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21</v>
      </c>
      <c r="B2" s="13">
        <v>578052250.2536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P26"/>
  <sheetViews>
    <sheetView zoomScale="120" zoomScaleNormal="120" workbookViewId="0">
      <pane xSplit="1" topLeftCell="B1" activePane="topRight" state="frozen"/>
      <selection pane="topRight" activeCell="F13" sqref="F13"/>
    </sheetView>
  </sheetViews>
  <sheetFormatPr defaultRowHeight="26.25"/>
  <cols>
    <col min="1" max="1" width="12.7109375" style="17" bestFit="1" customWidth="1"/>
    <col min="2" max="2" width="29.42578125" style="17" bestFit="1" customWidth="1"/>
    <col min="3" max="3" width="34.7109375" style="17" bestFit="1" customWidth="1"/>
    <col min="4" max="4" width="31.5703125" style="17" bestFit="1" customWidth="1"/>
    <col min="5" max="5" width="15.7109375" style="17" bestFit="1" customWidth="1"/>
    <col min="6" max="6" width="36.7109375" style="17" bestFit="1" customWidth="1"/>
    <col min="7" max="7" width="16.5703125" style="17" bestFit="1" customWidth="1"/>
    <col min="8" max="8" width="15.7109375" style="17" bestFit="1" customWidth="1"/>
    <col min="9" max="9" width="36.7109375" style="17" bestFit="1" customWidth="1"/>
    <col min="10" max="10" width="16.5703125" style="17" bestFit="1" customWidth="1"/>
    <col min="11" max="11" width="13.7109375" style="17" bestFit="1" customWidth="1"/>
    <col min="12" max="12" width="36.7109375" style="17" bestFit="1" customWidth="1"/>
    <col min="13" max="13" width="16.5703125" style="17" bestFit="1" customWidth="1"/>
    <col min="14" max="14" width="4" style="17" customWidth="1"/>
    <col min="15" max="15" width="10.42578125" style="17" bestFit="1" customWidth="1"/>
    <col min="16" max="16" width="9.5703125" style="17" bestFit="1" customWidth="1"/>
    <col min="17" max="16384" width="9.140625" style="17"/>
  </cols>
  <sheetData>
    <row r="1" spans="1:16">
      <c r="B1" s="18" t="s">
        <v>163</v>
      </c>
      <c r="C1" s="19" t="s">
        <v>164</v>
      </c>
      <c r="D1" s="19" t="s">
        <v>165</v>
      </c>
      <c r="E1" s="20" t="s">
        <v>167</v>
      </c>
      <c r="F1" s="18" t="s">
        <v>166</v>
      </c>
      <c r="G1" s="20" t="s">
        <v>167</v>
      </c>
    </row>
    <row r="2" spans="1:16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4"/>
    </row>
    <row r="3" spans="1:16">
      <c r="A3" s="25">
        <v>45599</v>
      </c>
      <c r="B3" s="26">
        <v>12251953579</v>
      </c>
      <c r="C3" s="26">
        <v>72412119703.697403</v>
      </c>
      <c r="D3" s="26">
        <v>84664073282.697403</v>
      </c>
      <c r="E3" s="27">
        <f>(D3/D2)-1</f>
        <v>0.554639948435387</v>
      </c>
      <c r="F3" s="26">
        <f>C23</f>
        <v>9367388175111</v>
      </c>
      <c r="G3" s="28"/>
    </row>
    <row r="4" spans="1:16">
      <c r="A4" s="25">
        <v>45627</v>
      </c>
      <c r="B4" s="26">
        <v>20311041254</v>
      </c>
      <c r="C4" s="26">
        <v>130331898314.60237</v>
      </c>
      <c r="D4" s="26">
        <v>150642939568.60236</v>
      </c>
      <c r="E4" s="27">
        <f>(D4/D3)-1</f>
        <v>0.77930181867813464</v>
      </c>
      <c r="F4" s="26">
        <f>F23</f>
        <v>14423683909608</v>
      </c>
      <c r="G4" s="28">
        <f>(F4/F3)-1</f>
        <v>0.53977647130408202</v>
      </c>
    </row>
    <row r="5" spans="1:16">
      <c r="A5" s="25">
        <v>45637</v>
      </c>
      <c r="B5" s="26">
        <v>27568617066</v>
      </c>
      <c r="C5" s="26">
        <v>176357359077.21179</v>
      </c>
      <c r="D5" s="26">
        <v>203925976143.21182</v>
      </c>
      <c r="E5" s="27">
        <f>(D5/D4)-1</f>
        <v>0.35370417443523472</v>
      </c>
      <c r="F5" s="26">
        <f>I23</f>
        <v>16807977610645</v>
      </c>
      <c r="G5" s="28">
        <f>(F5/F4)-1</f>
        <v>0.16530407321591123</v>
      </c>
      <c r="K5" s="29"/>
    </row>
    <row r="6" spans="1:16">
      <c r="A6" s="25">
        <v>45669</v>
      </c>
      <c r="B6" s="26">
        <v>50544502728</v>
      </c>
      <c r="C6" s="26">
        <v>365640508685.70178</v>
      </c>
      <c r="D6" s="26">
        <v>416185011413.7019</v>
      </c>
      <c r="E6" s="27">
        <f>(D6/D5)-1</f>
        <v>1.0408631567438285</v>
      </c>
      <c r="F6" s="26">
        <f>L23</f>
        <v>23131061313318</v>
      </c>
      <c r="G6" s="27">
        <f>(F6/F5)-1</f>
        <v>0.37619539061429963</v>
      </c>
      <c r="H6" s="30"/>
      <c r="K6" s="29"/>
    </row>
    <row r="7" spans="1:16">
      <c r="A7" s="31">
        <v>45669</v>
      </c>
      <c r="B7" s="32">
        <v>58613941306</v>
      </c>
      <c r="C7" s="32">
        <v>441775011147.23444</v>
      </c>
      <c r="D7" s="32">
        <v>500388952453.23456</v>
      </c>
      <c r="E7" s="33"/>
      <c r="F7" s="26">
        <f>L23</f>
        <v>23131061313318</v>
      </c>
      <c r="G7" s="28">
        <f>(F6/F5)-1</f>
        <v>0.37619539061429963</v>
      </c>
      <c r="H7" s="34"/>
      <c r="K7" s="29"/>
    </row>
    <row r="8" spans="1:16">
      <c r="A8" s="35" t="s">
        <v>188</v>
      </c>
      <c r="B8" s="36">
        <f>B6-B5</f>
        <v>22975885662</v>
      </c>
      <c r="C8" s="36">
        <f>C6-C5</f>
        <v>189283149608.48999</v>
      </c>
      <c r="D8" s="36">
        <f>D6-D5</f>
        <v>212259035270.49008</v>
      </c>
      <c r="E8" s="37"/>
      <c r="F8" s="36">
        <f>F6-F5</f>
        <v>6323083702673</v>
      </c>
      <c r="G8" s="38"/>
      <c r="H8" s="34"/>
    </row>
    <row r="9" spans="1:16" ht="391.5" customHeight="1"/>
    <row r="10" spans="1:16">
      <c r="B10" s="56">
        <v>45599</v>
      </c>
      <c r="C10" s="57"/>
      <c r="D10" s="58"/>
      <c r="E10" s="57">
        <v>45627</v>
      </c>
      <c r="F10" s="57"/>
      <c r="G10" s="58"/>
      <c r="H10" s="57">
        <v>45636</v>
      </c>
      <c r="I10" s="57"/>
      <c r="J10" s="58"/>
      <c r="K10" s="57">
        <v>45669</v>
      </c>
      <c r="L10" s="57"/>
      <c r="M10" s="58"/>
      <c r="N10" s="39"/>
      <c r="O10" s="59" t="s">
        <v>186</v>
      </c>
      <c r="P10" s="59"/>
    </row>
    <row r="11" spans="1:16">
      <c r="A11" s="40" t="s">
        <v>180</v>
      </c>
      <c r="B11" s="41" t="s">
        <v>181</v>
      </c>
      <c r="C11" s="42" t="s">
        <v>179</v>
      </c>
      <c r="D11" s="43" t="s">
        <v>182</v>
      </c>
      <c r="E11" s="42" t="s">
        <v>181</v>
      </c>
      <c r="F11" s="42" t="s">
        <v>179</v>
      </c>
      <c r="G11" s="43" t="s">
        <v>182</v>
      </c>
      <c r="H11" s="42" t="s">
        <v>181</v>
      </c>
      <c r="I11" s="42" t="s">
        <v>179</v>
      </c>
      <c r="J11" s="43" t="s">
        <v>182</v>
      </c>
      <c r="K11" s="42" t="s">
        <v>181</v>
      </c>
      <c r="L11" s="42" t="s">
        <v>179</v>
      </c>
      <c r="M11" s="43" t="s">
        <v>182</v>
      </c>
      <c r="O11" s="17" t="s">
        <v>181</v>
      </c>
      <c r="P11" s="17" t="s">
        <v>187</v>
      </c>
    </row>
    <row r="12" spans="1:16">
      <c r="A12" s="44" t="s">
        <v>168</v>
      </c>
      <c r="B12" s="45">
        <v>30</v>
      </c>
      <c r="C12" s="26">
        <v>1548603167792</v>
      </c>
      <c r="D12" s="46"/>
      <c r="E12" s="17">
        <v>30</v>
      </c>
      <c r="F12" s="26">
        <v>1502097804235</v>
      </c>
      <c r="G12" s="46"/>
      <c r="H12" s="17">
        <v>30</v>
      </c>
      <c r="I12" s="26">
        <v>1759290107250</v>
      </c>
      <c r="J12" s="46"/>
      <c r="K12" s="17">
        <v>30</v>
      </c>
      <c r="L12" s="26">
        <v>2221994435332</v>
      </c>
      <c r="M12" s="46"/>
      <c r="N12" s="47"/>
      <c r="O12" s="29">
        <f>(K12/H12)-1</f>
        <v>0</v>
      </c>
      <c r="P12" s="29"/>
    </row>
    <row r="13" spans="1:16">
      <c r="A13" s="44" t="s">
        <v>169</v>
      </c>
      <c r="B13" s="45">
        <v>250</v>
      </c>
      <c r="C13" s="26">
        <v>208697426935</v>
      </c>
      <c r="D13" s="46"/>
      <c r="E13" s="17">
        <v>250</v>
      </c>
      <c r="F13" s="26">
        <v>206167253798</v>
      </c>
      <c r="G13" s="46"/>
      <c r="H13" s="17">
        <v>250</v>
      </c>
      <c r="I13" s="26">
        <v>125932215358</v>
      </c>
      <c r="J13" s="46"/>
      <c r="K13" s="17">
        <v>250</v>
      </c>
      <c r="L13" s="26">
        <v>306750926247</v>
      </c>
      <c r="M13" s="46"/>
      <c r="N13" s="47"/>
      <c r="O13" s="29">
        <f t="shared" ref="O13:O21" si="0">(K13/H13)-1</f>
        <v>0</v>
      </c>
      <c r="P13" s="29"/>
    </row>
    <row r="14" spans="1:16">
      <c r="A14" s="44" t="s">
        <v>177</v>
      </c>
      <c r="B14" s="45">
        <v>0</v>
      </c>
      <c r="C14" s="26">
        <v>0</v>
      </c>
      <c r="D14" s="46">
        <v>0</v>
      </c>
      <c r="E14" s="17">
        <v>12</v>
      </c>
      <c r="F14" s="26">
        <v>1118898900974</v>
      </c>
      <c r="G14" s="46">
        <v>28.32</v>
      </c>
      <c r="H14" s="17">
        <v>12</v>
      </c>
      <c r="I14" s="26">
        <v>1702738907169</v>
      </c>
      <c r="J14" s="46">
        <f>H14*2.17</f>
        <v>26.04</v>
      </c>
      <c r="K14" s="17">
        <v>12</v>
      </c>
      <c r="L14" s="26">
        <v>2726215768426</v>
      </c>
      <c r="M14" s="46">
        <f>K14*2.52</f>
        <v>30.240000000000002</v>
      </c>
      <c r="N14" s="47"/>
      <c r="O14" s="29">
        <f t="shared" ref="O14" si="1">(K14/H14)-1</f>
        <v>0</v>
      </c>
      <c r="P14" s="29">
        <f>(M14/J14)-1</f>
        <v>0.16129032258064524</v>
      </c>
    </row>
    <row r="15" spans="1:16">
      <c r="A15" s="44" t="s">
        <v>170</v>
      </c>
      <c r="B15" s="45">
        <v>80</v>
      </c>
      <c r="C15" s="26">
        <v>1297662855427</v>
      </c>
      <c r="D15" s="46">
        <v>13.600000000000001</v>
      </c>
      <c r="E15" s="17">
        <v>80</v>
      </c>
      <c r="F15" s="26">
        <v>1302568301015</v>
      </c>
      <c r="G15" s="46">
        <v>16.8</v>
      </c>
      <c r="H15" s="17">
        <v>80</v>
      </c>
      <c r="I15" s="26">
        <v>1634983755968</v>
      </c>
      <c r="J15" s="46">
        <f>H15*0.26</f>
        <v>20.8</v>
      </c>
      <c r="K15" s="17">
        <v>75</v>
      </c>
      <c r="L15" s="26">
        <v>2205346731062</v>
      </c>
      <c r="M15" s="46">
        <f>K15*0.23</f>
        <v>17.25</v>
      </c>
      <c r="N15" s="47"/>
      <c r="O15" s="29">
        <f t="shared" si="0"/>
        <v>-6.25E-2</v>
      </c>
      <c r="P15" s="29">
        <f>(M15/J15)-1</f>
        <v>-0.17067307692307698</v>
      </c>
    </row>
    <row r="16" spans="1:16">
      <c r="A16" s="44" t="s">
        <v>171</v>
      </c>
      <c r="B16" s="45">
        <v>130</v>
      </c>
      <c r="C16" s="26">
        <v>2047287373871</v>
      </c>
      <c r="D16" s="46">
        <v>19.5</v>
      </c>
      <c r="E16" s="17">
        <v>60</v>
      </c>
      <c r="F16" s="26">
        <v>2012167325881</v>
      </c>
      <c r="G16" s="46">
        <v>25.2</v>
      </c>
      <c r="H16" s="17">
        <v>50</v>
      </c>
      <c r="I16" s="26">
        <v>1772464005566</v>
      </c>
      <c r="J16" s="46">
        <f>H16*0.4</f>
        <v>20</v>
      </c>
      <c r="K16" s="17">
        <v>54</v>
      </c>
      <c r="L16" s="26">
        <v>2253461445694</v>
      </c>
      <c r="M16" s="46">
        <f>K16*0.34</f>
        <v>18.360000000000003</v>
      </c>
      <c r="N16" s="47"/>
      <c r="O16" s="29">
        <f t="shared" si="0"/>
        <v>8.0000000000000071E-2</v>
      </c>
      <c r="P16" s="29">
        <f t="shared" ref="P16:P22" si="2">(M16/J16)-1</f>
        <v>-8.1999999999999851E-2</v>
      </c>
    </row>
    <row r="17" spans="1:16">
      <c r="A17" s="44" t="s">
        <v>172</v>
      </c>
      <c r="B17" s="45">
        <v>2.0000000000000001E-4</v>
      </c>
      <c r="C17" s="26">
        <v>12085680872</v>
      </c>
      <c r="D17" s="46">
        <v>13.746352</v>
      </c>
      <c r="E17" s="17">
        <v>2.2000000000000001E-4</v>
      </c>
      <c r="F17" s="26">
        <v>1704527581437</v>
      </c>
      <c r="G17" s="46">
        <v>21.222341800000002</v>
      </c>
      <c r="H17" s="17">
        <v>2.2000000000000001E-4</v>
      </c>
      <c r="I17" s="26">
        <v>1825404392412</v>
      </c>
      <c r="J17" s="46">
        <f>H17*97077.3</f>
        <v>21.357006000000002</v>
      </c>
      <c r="K17" s="17">
        <v>2.0000000000000001E-4</v>
      </c>
      <c r="L17" s="26">
        <v>2330547934306</v>
      </c>
      <c r="M17" s="46">
        <f>K17*94368.95</f>
        <v>18.87379</v>
      </c>
      <c r="N17" s="47"/>
      <c r="O17" s="29">
        <f t="shared" si="0"/>
        <v>-9.0909090909090939E-2</v>
      </c>
      <c r="P17" s="29">
        <f t="shared" si="2"/>
        <v>-0.11627172834993826</v>
      </c>
    </row>
    <row r="18" spans="1:16">
      <c r="A18" s="44" t="s">
        <v>173</v>
      </c>
      <c r="B18" s="45">
        <v>1.8E-3</v>
      </c>
      <c r="C18" s="26">
        <v>479952872411</v>
      </c>
      <c r="D18" s="46">
        <v>4.4214120000000001</v>
      </c>
      <c r="E18" s="17">
        <v>6.0000000000000001E-3</v>
      </c>
      <c r="F18" s="26">
        <v>1720775968166</v>
      </c>
      <c r="G18" s="46">
        <v>22.238040000000002</v>
      </c>
      <c r="H18" s="17">
        <v>6.0000000000000001E-3</v>
      </c>
      <c r="I18" s="26">
        <v>1622701741665</v>
      </c>
      <c r="J18" s="46">
        <f>H18*3709.17</f>
        <v>22.255020000000002</v>
      </c>
      <c r="K18" s="17">
        <v>5.4999999999999997E-3</v>
      </c>
      <c r="L18" s="26">
        <v>2280837794775</v>
      </c>
      <c r="M18" s="46">
        <f>K18*3266.09</f>
        <v>17.963494999999998</v>
      </c>
      <c r="N18" s="47"/>
      <c r="O18" s="29">
        <f t="shared" si="0"/>
        <v>-8.333333333333337E-2</v>
      </c>
      <c r="P18" s="29">
        <f t="shared" si="2"/>
        <v>-0.19283402126801064</v>
      </c>
    </row>
    <row r="19" spans="1:16">
      <c r="A19" s="44" t="s">
        <v>174</v>
      </c>
      <c r="B19" s="45">
        <v>2.8000000000000001E-2</v>
      </c>
      <c r="C19" s="26">
        <v>1223789587623</v>
      </c>
      <c r="D19" s="46">
        <v>15.62372</v>
      </c>
      <c r="E19" s="17">
        <v>2.5000000000000001E-2</v>
      </c>
      <c r="F19" s="26">
        <v>1247222939191</v>
      </c>
      <c r="G19" s="46">
        <v>16.365000000000002</v>
      </c>
      <c r="H19" s="17">
        <v>2.5999999999999999E-2</v>
      </c>
      <c r="I19" s="26">
        <v>1418667829635</v>
      </c>
      <c r="J19" s="46">
        <f>H19*691.86</f>
        <v>17.98836</v>
      </c>
      <c r="K19" s="17">
        <v>2.5000000000000001E-2</v>
      </c>
      <c r="L19" s="26">
        <v>2298815415687</v>
      </c>
      <c r="M19" s="46">
        <f>K19*693.25</f>
        <v>17.331250000000001</v>
      </c>
      <c r="N19" s="47"/>
      <c r="O19" s="29">
        <f t="shared" si="0"/>
        <v>-3.8461538461538325E-2</v>
      </c>
      <c r="P19" s="29">
        <f t="shared" si="2"/>
        <v>-3.6529733672219122E-2</v>
      </c>
    </row>
    <row r="20" spans="1:16">
      <c r="A20" s="44" t="s">
        <v>175</v>
      </c>
      <c r="B20" s="45">
        <v>9</v>
      </c>
      <c r="C20" s="26">
        <v>435521914006</v>
      </c>
      <c r="D20" s="46">
        <v>2.61</v>
      </c>
      <c r="E20" s="17">
        <v>35</v>
      </c>
      <c r="F20" s="26">
        <v>1042715534192</v>
      </c>
      <c r="G20" s="46">
        <v>21</v>
      </c>
      <c r="H20" s="17">
        <v>32</v>
      </c>
      <c r="I20" s="26">
        <v>1442402830997</v>
      </c>
      <c r="J20" s="46">
        <f>H20*0.58</f>
        <v>18.559999999999999</v>
      </c>
      <c r="K20" s="17">
        <v>35</v>
      </c>
      <c r="L20" s="26">
        <v>1973976180061</v>
      </c>
      <c r="M20" s="46">
        <f>K20*0.45</f>
        <v>15.75</v>
      </c>
      <c r="N20" s="47"/>
      <c r="O20" s="29">
        <f t="shared" si="0"/>
        <v>9.375E-2</v>
      </c>
      <c r="P20" s="29">
        <f t="shared" si="2"/>
        <v>-0.15140086206896541</v>
      </c>
    </row>
    <row r="21" spans="1:16">
      <c r="A21" s="44" t="s">
        <v>176</v>
      </c>
      <c r="B21" s="45">
        <v>0.08</v>
      </c>
      <c r="C21" s="26">
        <v>1087209850989</v>
      </c>
      <c r="D21" s="46">
        <v>12.9968</v>
      </c>
      <c r="E21" s="17">
        <v>0.08</v>
      </c>
      <c r="F21" s="26">
        <v>1052273875232</v>
      </c>
      <c r="G21" s="46">
        <v>19.0184</v>
      </c>
      <c r="H21" s="17">
        <v>0.1</v>
      </c>
      <c r="I21" s="26">
        <v>1574349133827</v>
      </c>
      <c r="J21" s="46">
        <f>H21*213.75</f>
        <v>21.375</v>
      </c>
      <c r="K21" s="17">
        <v>0.11</v>
      </c>
      <c r="L21" s="26">
        <v>2026932602116</v>
      </c>
      <c r="M21" s="46">
        <f>K21*188.3</f>
        <v>20.713000000000001</v>
      </c>
      <c r="N21" s="47"/>
      <c r="O21" s="29">
        <f t="shared" si="0"/>
        <v>9.9999999999999867E-2</v>
      </c>
      <c r="P21" s="29">
        <f t="shared" si="2"/>
        <v>-3.0970760233918093E-2</v>
      </c>
    </row>
    <row r="22" spans="1:16">
      <c r="A22" s="44" t="s">
        <v>178</v>
      </c>
      <c r="B22" s="45">
        <v>0.24</v>
      </c>
      <c r="C22" s="26">
        <v>1026577445185</v>
      </c>
      <c r="D22" s="46">
        <v>16.041599999999999</v>
      </c>
      <c r="E22" s="17">
        <v>0.3</v>
      </c>
      <c r="F22" s="26">
        <v>1514268425487</v>
      </c>
      <c r="G22" s="46">
        <v>30.839999999999996</v>
      </c>
      <c r="H22" s="17">
        <v>0.3</v>
      </c>
      <c r="I22" s="26">
        <v>1929042690798</v>
      </c>
      <c r="J22" s="46">
        <f>H22*109.91</f>
        <v>32.972999999999999</v>
      </c>
      <c r="K22" s="17">
        <v>0.28000000000000003</v>
      </c>
      <c r="L22" s="26">
        <v>2506182079612</v>
      </c>
      <c r="M22" s="46">
        <f>K22*102.45</f>
        <v>28.686000000000003</v>
      </c>
      <c r="N22" s="47"/>
      <c r="O22" s="29">
        <f>(K22/H22)-1</f>
        <v>-6.6666666666666541E-2</v>
      </c>
      <c r="P22" s="29">
        <f t="shared" si="2"/>
        <v>-0.13001546720043655</v>
      </c>
    </row>
    <row r="23" spans="1:16">
      <c r="A23" s="40" t="s">
        <v>183</v>
      </c>
      <c r="B23" s="48"/>
      <c r="C23" s="36">
        <f>SUM(C12:C22)</f>
        <v>9367388175111</v>
      </c>
      <c r="D23" s="49">
        <f>SUM(D14:D22)</f>
        <v>98.539884000000015</v>
      </c>
      <c r="E23" s="50"/>
      <c r="F23" s="36">
        <f>SUM(F12:F22)</f>
        <v>14423683909608</v>
      </c>
      <c r="G23" s="49">
        <f>SUM(G14:G22)</f>
        <v>201.00378179999998</v>
      </c>
      <c r="H23" s="50"/>
      <c r="I23" s="36">
        <f>SUM(I12:I22)</f>
        <v>16807977610645</v>
      </c>
      <c r="J23" s="49">
        <f>SUM(J14:J22)</f>
        <v>201.348386</v>
      </c>
      <c r="K23" s="50"/>
      <c r="L23" s="36">
        <f>SUM(L12:L22)</f>
        <v>23131061313318</v>
      </c>
      <c r="M23" s="49">
        <f>SUM(M14:M22)</f>
        <v>185.16753499999999</v>
      </c>
      <c r="N23" s="47"/>
      <c r="O23" s="51">
        <f>AVERAGE(O12:O22)</f>
        <v>-6.1927844882390219E-3</v>
      </c>
      <c r="P23" s="52">
        <f>(M23/J23)-1</f>
        <v>-8.0362456940678006E-2</v>
      </c>
    </row>
    <row r="26" spans="1:16">
      <c r="J26" s="53"/>
    </row>
  </sheetData>
  <mergeCells count="5">
    <mergeCell ref="B10:D10"/>
    <mergeCell ref="H10:J10"/>
    <mergeCell ref="O10:P10"/>
    <mergeCell ref="K10:M10"/>
    <mergeCell ref="E10:G10"/>
  </mergeCells>
  <conditionalFormatting sqref="O12:O23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P12:P2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Robson Costa Cassemiro</cp:lastModifiedBy>
  <dcterms:created xsi:type="dcterms:W3CDTF">2024-07-22T13:11:05Z</dcterms:created>
  <dcterms:modified xsi:type="dcterms:W3CDTF">2025-01-16T13:36:42Z</dcterms:modified>
</cp:coreProperties>
</file>