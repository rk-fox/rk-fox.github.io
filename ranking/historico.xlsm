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11463695730\Downloads\"/>
    </mc:Choice>
  </mc:AlternateContent>
  <xr:revisionPtr revIDLastSave="0" documentId="13_ncr:1_{5DBBBC88-73B2-4915-BA02-CE33875838B9}" xr6:coauthVersionLast="47" xr6:coauthVersionMax="47" xr10:uidLastSave="{00000000-0000-0000-0000-000000000000}"/>
  <bookViews>
    <workbookView xWindow="-120" yWindow="-120" windowWidth="29040" windowHeight="15840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5" i="3" l="1"/>
  <c r="L51" i="3"/>
  <c r="L37" i="3"/>
  <c r="L33" i="3"/>
  <c r="L31" i="3"/>
  <c r="L23" i="3"/>
  <c r="L15" i="3"/>
  <c r="L13" i="3"/>
  <c r="L54" i="3"/>
  <c r="L40" i="3"/>
  <c r="L28" i="3"/>
  <c r="L27" i="3"/>
  <c r="L24" i="3"/>
  <c r="L20" i="3"/>
  <c r="L16" i="3"/>
  <c r="L55" i="3"/>
  <c r="L53" i="3"/>
  <c r="L52" i="3"/>
  <c r="L50" i="3"/>
  <c r="L49" i="3"/>
  <c r="L48" i="3"/>
  <c r="L47" i="3"/>
  <c r="L46" i="3"/>
  <c r="L45" i="3"/>
  <c r="L44" i="3"/>
  <c r="L43" i="3"/>
  <c r="L42" i="3"/>
  <c r="L41" i="3"/>
  <c r="L39" i="3"/>
  <c r="L38" i="3"/>
  <c r="L36" i="3"/>
  <c r="L34" i="3"/>
  <c r="L32" i="3"/>
  <c r="L30" i="3"/>
  <c r="L29" i="3"/>
  <c r="L26" i="3"/>
  <c r="L25" i="3"/>
  <c r="L22" i="3"/>
  <c r="L21" i="3"/>
  <c r="L19" i="3"/>
  <c r="L18" i="3"/>
  <c r="L17" i="3"/>
  <c r="L14" i="3"/>
  <c r="L12" i="3"/>
  <c r="L11" i="3"/>
  <c r="L10" i="3"/>
  <c r="L9" i="3"/>
  <c r="L8" i="3"/>
  <c r="L7" i="3"/>
  <c r="L6" i="3"/>
  <c r="L5" i="3"/>
  <c r="L4" i="3"/>
  <c r="L3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</calcChain>
</file>

<file path=xl/sharedStrings.xml><?xml version="1.0" encoding="utf-8"?>
<sst xmlns="http://schemas.openxmlformats.org/spreadsheetml/2006/main" count="451" uniqueCount="169">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</sst>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54"/>
  <sheetViews>
    <sheetView tabSelected="1" workbookViewId="0">
      <selection activeCell="A3" sqref="A3"/>
    </sheetView>
  </sheetViews>
  <sheetFormatPr defaultRowHeight="15" x14ac:dyDescent="0.25"/>
  <cols>
    <col min="1" max="1" width="26.5703125" bestFit="1" customWidth="1"/>
    <col min="2" max="2" width="16" bestFit="1" customWidth="1"/>
    <col min="3" max="3" width="24" customWidth="1"/>
    <col min="4" max="4" width="12.28515625" customWidth="1"/>
    <col min="5" max="5" width="16" bestFit="1" customWidth="1"/>
  </cols>
  <sheetData>
    <row r="1" spans="1:5" x14ac:dyDescent="0.2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 x14ac:dyDescent="0.25">
      <c r="A2" s="2" t="s">
        <v>31</v>
      </c>
      <c r="B2" t="s">
        <v>32</v>
      </c>
      <c r="C2" s="2">
        <v>4995602313.7577</v>
      </c>
      <c r="D2">
        <v>1</v>
      </c>
      <c r="E2" t="s">
        <v>66</v>
      </c>
    </row>
    <row r="3" spans="1:5" x14ac:dyDescent="0.25">
      <c r="A3" s="2" t="s">
        <v>46</v>
      </c>
      <c r="B3" t="s">
        <v>45</v>
      </c>
      <c r="C3" s="2">
        <v>4486737078.0619001</v>
      </c>
      <c r="D3">
        <v>2</v>
      </c>
      <c r="E3" t="s">
        <v>67</v>
      </c>
    </row>
    <row r="4" spans="1:5" x14ac:dyDescent="0.25">
      <c r="A4" s="2" t="s">
        <v>24</v>
      </c>
      <c r="B4" t="s">
        <v>20</v>
      </c>
      <c r="C4" s="2">
        <v>4308325189.9591999</v>
      </c>
      <c r="D4">
        <v>3</v>
      </c>
      <c r="E4" t="s">
        <v>65</v>
      </c>
    </row>
    <row r="5" spans="1:5" x14ac:dyDescent="0.25">
      <c r="A5" t="s">
        <v>122</v>
      </c>
      <c r="B5" t="s">
        <v>123</v>
      </c>
      <c r="C5">
        <v>4052415011.0941997</v>
      </c>
      <c r="D5">
        <v>4</v>
      </c>
      <c r="E5" t="s">
        <v>124</v>
      </c>
    </row>
    <row r="6" spans="1:5" x14ac:dyDescent="0.25">
      <c r="A6" s="1" t="s">
        <v>5</v>
      </c>
      <c r="B6" t="s">
        <v>3</v>
      </c>
      <c r="C6" s="2">
        <v>3516576054.6454</v>
      </c>
      <c r="D6">
        <v>5</v>
      </c>
      <c r="E6" t="s">
        <v>3</v>
      </c>
    </row>
    <row r="7" spans="1:5" x14ac:dyDescent="0.25">
      <c r="A7" s="2" t="s">
        <v>44</v>
      </c>
      <c r="B7" t="s">
        <v>43</v>
      </c>
      <c r="C7" s="2">
        <v>2548016151.0064001</v>
      </c>
      <c r="D7">
        <v>6</v>
      </c>
      <c r="E7" t="s">
        <v>43</v>
      </c>
    </row>
    <row r="8" spans="1:5" x14ac:dyDescent="0.25">
      <c r="A8" s="1" t="s">
        <v>1</v>
      </c>
      <c r="B8" t="s">
        <v>0</v>
      </c>
      <c r="C8" s="2">
        <v>2489815868.2179003</v>
      </c>
      <c r="D8">
        <v>7</v>
      </c>
      <c r="E8" t="s">
        <v>0</v>
      </c>
    </row>
    <row r="9" spans="1:5" x14ac:dyDescent="0.25">
      <c r="A9" s="2" t="s">
        <v>48</v>
      </c>
      <c r="B9" s="2" t="s">
        <v>47</v>
      </c>
      <c r="C9" s="2">
        <v>1729690636.7565999</v>
      </c>
      <c r="D9">
        <v>8</v>
      </c>
      <c r="E9" t="s">
        <v>68</v>
      </c>
    </row>
    <row r="10" spans="1:5" x14ac:dyDescent="0.25">
      <c r="A10" s="2" t="s">
        <v>95</v>
      </c>
      <c r="B10" t="s">
        <v>94</v>
      </c>
      <c r="C10" s="2">
        <v>1684702595.0736001</v>
      </c>
      <c r="D10">
        <v>9</v>
      </c>
      <c r="E10" t="s">
        <v>137</v>
      </c>
    </row>
    <row r="11" spans="1:5" x14ac:dyDescent="0.25">
      <c r="A11" t="s">
        <v>141</v>
      </c>
      <c r="B11" t="s">
        <v>142</v>
      </c>
      <c r="C11">
        <v>1553518760.016</v>
      </c>
      <c r="D11">
        <v>10</v>
      </c>
      <c r="E11" t="s">
        <v>143</v>
      </c>
    </row>
    <row r="12" spans="1:5" x14ac:dyDescent="0.25">
      <c r="A12" s="2" t="s">
        <v>60</v>
      </c>
      <c r="B12" t="s">
        <v>106</v>
      </c>
      <c r="C12" s="2">
        <v>1383386065.4957001</v>
      </c>
      <c r="D12">
        <v>11</v>
      </c>
      <c r="E12" t="s">
        <v>59</v>
      </c>
    </row>
    <row r="13" spans="1:5" x14ac:dyDescent="0.25">
      <c r="A13" t="s">
        <v>134</v>
      </c>
      <c r="B13" t="s">
        <v>135</v>
      </c>
      <c r="C13">
        <v>1097067719.6752</v>
      </c>
      <c r="D13">
        <v>12</v>
      </c>
      <c r="E13" t="s">
        <v>136</v>
      </c>
    </row>
    <row r="14" spans="1:5" x14ac:dyDescent="0.25">
      <c r="A14" s="2" t="s">
        <v>50</v>
      </c>
      <c r="B14" t="s">
        <v>49</v>
      </c>
      <c r="C14" s="2">
        <v>1048255053.1604</v>
      </c>
      <c r="D14">
        <v>13</v>
      </c>
      <c r="E14" t="s">
        <v>71</v>
      </c>
    </row>
    <row r="15" spans="1:5" x14ac:dyDescent="0.25">
      <c r="A15" t="s">
        <v>125</v>
      </c>
      <c r="B15" t="s">
        <v>126</v>
      </c>
      <c r="C15">
        <v>988766321.42400002</v>
      </c>
      <c r="D15">
        <v>14</v>
      </c>
      <c r="E15" t="s">
        <v>127</v>
      </c>
    </row>
    <row r="16" spans="1:5" x14ac:dyDescent="0.25">
      <c r="A16" t="s">
        <v>131</v>
      </c>
      <c r="B16" t="s">
        <v>132</v>
      </c>
      <c r="C16">
        <v>952466064.37699997</v>
      </c>
      <c r="D16">
        <v>15</v>
      </c>
      <c r="E16" t="s">
        <v>133</v>
      </c>
    </row>
    <row r="17" spans="1:5" x14ac:dyDescent="0.25">
      <c r="A17" s="2" t="s">
        <v>29</v>
      </c>
      <c r="B17" t="s">
        <v>27</v>
      </c>
      <c r="C17" s="2">
        <v>872573181.472</v>
      </c>
      <c r="D17">
        <v>16</v>
      </c>
      <c r="E17" t="s">
        <v>72</v>
      </c>
    </row>
    <row r="18" spans="1:5" x14ac:dyDescent="0.25">
      <c r="A18" s="2" t="s">
        <v>40</v>
      </c>
      <c r="B18" t="s">
        <v>39</v>
      </c>
      <c r="C18" s="2">
        <v>852447875.69679999</v>
      </c>
      <c r="D18">
        <v>17</v>
      </c>
      <c r="E18" t="s">
        <v>69</v>
      </c>
    </row>
    <row r="19" spans="1:5" x14ac:dyDescent="0.25">
      <c r="A19" t="s">
        <v>6</v>
      </c>
      <c r="B19" t="s">
        <v>4</v>
      </c>
      <c r="C19" s="2">
        <v>849867345.71280003</v>
      </c>
      <c r="D19">
        <v>18</v>
      </c>
      <c r="E19" t="s">
        <v>4</v>
      </c>
    </row>
    <row r="20" spans="1:5" x14ac:dyDescent="0.25">
      <c r="A20" s="3" t="s">
        <v>90</v>
      </c>
      <c r="B20" t="s">
        <v>88</v>
      </c>
      <c r="C20" s="2">
        <v>770327245.62720001</v>
      </c>
      <c r="D20">
        <v>19</v>
      </c>
      <c r="E20" t="s">
        <v>89</v>
      </c>
    </row>
    <row r="21" spans="1:5" x14ac:dyDescent="0.25">
      <c r="A21" t="s">
        <v>154</v>
      </c>
      <c r="B21" t="s">
        <v>155</v>
      </c>
      <c r="C21">
        <v>740340379.54140007</v>
      </c>
      <c r="D21">
        <v>20</v>
      </c>
      <c r="E21" t="s">
        <v>156</v>
      </c>
    </row>
    <row r="22" spans="1:5" x14ac:dyDescent="0.25">
      <c r="A22" t="s">
        <v>97</v>
      </c>
      <c r="B22" t="s">
        <v>98</v>
      </c>
      <c r="C22">
        <v>619295338.53400004</v>
      </c>
      <c r="D22">
        <v>21</v>
      </c>
      <c r="E22" t="s">
        <v>99</v>
      </c>
    </row>
    <row r="23" spans="1:5" x14ac:dyDescent="0.25">
      <c r="A23" s="2" t="s">
        <v>28</v>
      </c>
      <c r="B23" t="s">
        <v>26</v>
      </c>
      <c r="C23" s="2">
        <v>539666829.44789994</v>
      </c>
      <c r="D23">
        <v>22</v>
      </c>
      <c r="E23" t="s">
        <v>70</v>
      </c>
    </row>
    <row r="24" spans="1:5" x14ac:dyDescent="0.25">
      <c r="A24" t="s">
        <v>107</v>
      </c>
      <c r="B24" t="s">
        <v>108</v>
      </c>
      <c r="C24">
        <v>532028815.48119998</v>
      </c>
      <c r="D24">
        <v>23</v>
      </c>
      <c r="E24" t="s">
        <v>109</v>
      </c>
    </row>
    <row r="25" spans="1:5" x14ac:dyDescent="0.25">
      <c r="A25" s="2" t="s">
        <v>93</v>
      </c>
      <c r="B25" t="s">
        <v>91</v>
      </c>
      <c r="C25" s="2">
        <v>517479169.60280001</v>
      </c>
      <c r="D25">
        <v>24</v>
      </c>
      <c r="E25" t="s">
        <v>92</v>
      </c>
    </row>
    <row r="26" spans="1:5" x14ac:dyDescent="0.25">
      <c r="A26" t="s">
        <v>138</v>
      </c>
      <c r="B26" t="s">
        <v>139</v>
      </c>
      <c r="C26">
        <v>461867268.54000002</v>
      </c>
      <c r="D26">
        <v>25</v>
      </c>
      <c r="E26" t="s">
        <v>140</v>
      </c>
    </row>
    <row r="27" spans="1:5" x14ac:dyDescent="0.25">
      <c r="A27" t="s">
        <v>144</v>
      </c>
      <c r="B27" t="s">
        <v>150</v>
      </c>
      <c r="C27">
        <v>457979811.48799998</v>
      </c>
      <c r="D27">
        <v>26</v>
      </c>
      <c r="E27" t="s">
        <v>146</v>
      </c>
    </row>
    <row r="28" spans="1:5" x14ac:dyDescent="0.25">
      <c r="A28" t="s">
        <v>113</v>
      </c>
      <c r="B28" t="s">
        <v>114</v>
      </c>
      <c r="C28">
        <v>442499941.14399999</v>
      </c>
      <c r="D28">
        <v>27</v>
      </c>
      <c r="E28" t="s">
        <v>115</v>
      </c>
    </row>
    <row r="29" spans="1:5" x14ac:dyDescent="0.25">
      <c r="A29" t="s">
        <v>110</v>
      </c>
      <c r="B29" t="s">
        <v>111</v>
      </c>
      <c r="C29">
        <v>412509425.08059996</v>
      </c>
      <c r="D29">
        <v>28</v>
      </c>
      <c r="E29" t="s">
        <v>112</v>
      </c>
    </row>
    <row r="30" spans="1:5" x14ac:dyDescent="0.25">
      <c r="A30" s="2" t="s">
        <v>23</v>
      </c>
      <c r="B30" t="s">
        <v>18</v>
      </c>
      <c r="C30" s="2">
        <v>374262082.69700003</v>
      </c>
      <c r="D30">
        <v>29</v>
      </c>
      <c r="E30" t="s">
        <v>78</v>
      </c>
    </row>
    <row r="31" spans="1:5" x14ac:dyDescent="0.25">
      <c r="A31" t="s">
        <v>100</v>
      </c>
      <c r="B31" t="s">
        <v>101</v>
      </c>
      <c r="C31">
        <v>366693364.81600004</v>
      </c>
      <c r="D31">
        <v>30</v>
      </c>
      <c r="E31" t="s">
        <v>102</v>
      </c>
    </row>
    <row r="32" spans="1:5" x14ac:dyDescent="0.25">
      <c r="A32" s="2" t="s">
        <v>14</v>
      </c>
      <c r="B32" t="s">
        <v>12</v>
      </c>
      <c r="C32" s="2">
        <v>304800227.3585</v>
      </c>
      <c r="D32">
        <v>31</v>
      </c>
      <c r="E32" t="s">
        <v>73</v>
      </c>
    </row>
    <row r="33" spans="1:5" x14ac:dyDescent="0.25">
      <c r="A33" s="2" t="s">
        <v>64</v>
      </c>
      <c r="B33" t="s">
        <v>63</v>
      </c>
      <c r="C33" s="2">
        <v>303133932.33359998</v>
      </c>
      <c r="D33">
        <v>32</v>
      </c>
      <c r="E33" t="s">
        <v>76</v>
      </c>
    </row>
    <row r="34" spans="1:5" x14ac:dyDescent="0.25">
      <c r="A34" t="s">
        <v>147</v>
      </c>
      <c r="B34" t="s">
        <v>148</v>
      </c>
      <c r="C34">
        <v>290934067.35699999</v>
      </c>
      <c r="D34">
        <v>33</v>
      </c>
      <c r="E34" t="s">
        <v>149</v>
      </c>
    </row>
    <row r="35" spans="1:5" x14ac:dyDescent="0.25">
      <c r="A35" s="2" t="s">
        <v>15</v>
      </c>
      <c r="B35" t="s">
        <v>11</v>
      </c>
      <c r="C35" s="2">
        <v>280458999.93699998</v>
      </c>
      <c r="D35">
        <v>34</v>
      </c>
      <c r="E35" t="s">
        <v>79</v>
      </c>
    </row>
    <row r="36" spans="1:5" x14ac:dyDescent="0.25">
      <c r="A36" s="2" t="s">
        <v>37</v>
      </c>
      <c r="B36" t="s">
        <v>38</v>
      </c>
      <c r="C36" s="2">
        <v>238562257.164</v>
      </c>
      <c r="D36">
        <v>35</v>
      </c>
      <c r="E36" t="s">
        <v>75</v>
      </c>
    </row>
    <row r="37" spans="1:5" x14ac:dyDescent="0.25">
      <c r="A37" s="2" t="s">
        <v>52</v>
      </c>
      <c r="B37" s="2" t="s">
        <v>51</v>
      </c>
      <c r="C37" s="2">
        <v>210546819.02829999</v>
      </c>
      <c r="D37">
        <v>36</v>
      </c>
      <c r="E37" t="s">
        <v>83</v>
      </c>
    </row>
    <row r="38" spans="1:5" x14ac:dyDescent="0.25">
      <c r="A38" t="s">
        <v>116</v>
      </c>
      <c r="B38" t="s">
        <v>117</v>
      </c>
      <c r="C38">
        <v>209628040.64400002</v>
      </c>
      <c r="D38">
        <v>37</v>
      </c>
      <c r="E38" t="s">
        <v>118</v>
      </c>
    </row>
    <row r="39" spans="1:5" x14ac:dyDescent="0.25">
      <c r="A39" s="2" t="s">
        <v>41</v>
      </c>
      <c r="B39" s="2" t="s">
        <v>42</v>
      </c>
      <c r="C39" s="2">
        <v>188673528.1464</v>
      </c>
      <c r="D39">
        <v>38</v>
      </c>
      <c r="E39" t="s">
        <v>77</v>
      </c>
    </row>
    <row r="40" spans="1:5" x14ac:dyDescent="0.25">
      <c r="A40" t="s">
        <v>58</v>
      </c>
      <c r="B40" s="2" t="s">
        <v>57</v>
      </c>
      <c r="C40" s="2">
        <v>168920522.04499999</v>
      </c>
      <c r="D40">
        <v>39</v>
      </c>
      <c r="E40" t="s">
        <v>74</v>
      </c>
    </row>
    <row r="41" spans="1:5" x14ac:dyDescent="0.25">
      <c r="A41" t="s">
        <v>119</v>
      </c>
      <c r="B41" t="s">
        <v>120</v>
      </c>
      <c r="C41">
        <v>151959500.4368</v>
      </c>
      <c r="D41">
        <v>40</v>
      </c>
      <c r="E41" t="s">
        <v>121</v>
      </c>
    </row>
    <row r="42" spans="1:5" x14ac:dyDescent="0.25">
      <c r="A42" t="s">
        <v>167</v>
      </c>
      <c r="B42" t="s">
        <v>168</v>
      </c>
      <c r="C42">
        <v>133137932.76719999</v>
      </c>
      <c r="D42">
        <v>41</v>
      </c>
      <c r="E42" t="s">
        <v>166</v>
      </c>
    </row>
    <row r="43" spans="1:5" x14ac:dyDescent="0.25">
      <c r="A43" s="2" t="s">
        <v>16</v>
      </c>
      <c r="B43" t="s">
        <v>13</v>
      </c>
      <c r="C43" s="2">
        <v>113363259.5125</v>
      </c>
      <c r="D43">
        <v>42</v>
      </c>
      <c r="E43" t="s">
        <v>81</v>
      </c>
    </row>
    <row r="44" spans="1:5" x14ac:dyDescent="0.25">
      <c r="A44" s="2" t="s">
        <v>22</v>
      </c>
      <c r="B44" t="s">
        <v>17</v>
      </c>
      <c r="C44" s="2">
        <v>109950319.63000001</v>
      </c>
      <c r="D44">
        <v>43</v>
      </c>
      <c r="E44" t="s">
        <v>82</v>
      </c>
    </row>
    <row r="45" spans="1:5" x14ac:dyDescent="0.25">
      <c r="A45" s="2" t="s">
        <v>36</v>
      </c>
      <c r="B45" t="s">
        <v>35</v>
      </c>
      <c r="C45" s="2">
        <v>103721106.3496</v>
      </c>
      <c r="D45">
        <v>44</v>
      </c>
      <c r="E45" t="s">
        <v>87</v>
      </c>
    </row>
    <row r="46" spans="1:5" x14ac:dyDescent="0.25">
      <c r="A46" s="2" t="s">
        <v>21</v>
      </c>
      <c r="B46" t="s">
        <v>19</v>
      </c>
      <c r="C46" s="2">
        <v>101647082.38079999</v>
      </c>
      <c r="D46">
        <v>45</v>
      </c>
      <c r="E46" t="s">
        <v>84</v>
      </c>
    </row>
    <row r="47" spans="1:5" x14ac:dyDescent="0.25">
      <c r="A47" s="2" t="s">
        <v>30</v>
      </c>
      <c r="B47" t="s">
        <v>25</v>
      </c>
      <c r="C47" s="2">
        <v>93033085.622400001</v>
      </c>
      <c r="D47">
        <v>46</v>
      </c>
      <c r="E47" t="s">
        <v>80</v>
      </c>
    </row>
    <row r="48" spans="1:5" x14ac:dyDescent="0.25">
      <c r="A48" t="s">
        <v>151</v>
      </c>
      <c r="B48" t="s">
        <v>145</v>
      </c>
      <c r="C48">
        <v>73253942.337500006</v>
      </c>
      <c r="D48">
        <v>47</v>
      </c>
      <c r="E48" t="s">
        <v>152</v>
      </c>
    </row>
    <row r="49" spans="1:5" x14ac:dyDescent="0.25">
      <c r="A49" s="2" t="s">
        <v>54</v>
      </c>
      <c r="B49" t="s">
        <v>53</v>
      </c>
      <c r="C49" s="2">
        <v>60170985.725400001</v>
      </c>
      <c r="D49">
        <v>48</v>
      </c>
      <c r="E49" t="s">
        <v>86</v>
      </c>
    </row>
    <row r="50" spans="1:5" x14ac:dyDescent="0.25">
      <c r="A50" s="2" t="s">
        <v>62</v>
      </c>
      <c r="B50" t="s">
        <v>61</v>
      </c>
      <c r="C50" s="2">
        <v>37229308.735399999</v>
      </c>
      <c r="D50">
        <v>49</v>
      </c>
      <c r="E50" t="s">
        <v>153</v>
      </c>
    </row>
    <row r="51" spans="1:5" x14ac:dyDescent="0.25">
      <c r="A51" s="2" t="s">
        <v>34</v>
      </c>
      <c r="B51" t="s">
        <v>33</v>
      </c>
      <c r="C51" s="2">
        <v>32994832.4727</v>
      </c>
      <c r="D51">
        <v>50</v>
      </c>
      <c r="E51" t="s">
        <v>96</v>
      </c>
    </row>
    <row r="52" spans="1:5" x14ac:dyDescent="0.25">
      <c r="A52" s="3" t="s">
        <v>56</v>
      </c>
      <c r="B52" t="s">
        <v>55</v>
      </c>
      <c r="C52" s="2">
        <v>28640855.541999999</v>
      </c>
      <c r="D52">
        <v>51</v>
      </c>
      <c r="E52" t="s">
        <v>85</v>
      </c>
    </row>
    <row r="53" spans="1:5" x14ac:dyDescent="0.25">
      <c r="A53" t="s">
        <v>128</v>
      </c>
      <c r="B53" t="s">
        <v>129</v>
      </c>
      <c r="C53">
        <v>27933573.588</v>
      </c>
      <c r="D53">
        <v>52</v>
      </c>
      <c r="E53" t="s">
        <v>130</v>
      </c>
    </row>
    <row r="54" spans="1:5" x14ac:dyDescent="0.25">
      <c r="A54" t="s">
        <v>103</v>
      </c>
      <c r="B54" t="s">
        <v>104</v>
      </c>
      <c r="C54">
        <v>1335317.9140000001</v>
      </c>
      <c r="D54">
        <v>53</v>
      </c>
      <c r="E54" t="s">
        <v>105</v>
      </c>
    </row>
  </sheetData>
  <autoFilter ref="A1:E1" xr:uid="{F35CEFC1-B3C5-47E8-B313-C5CF74631A2D}">
    <sortState xmlns:xlrd2="http://schemas.microsoft.com/office/spreadsheetml/2017/richdata2" ref="A2:E54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4"/>
  <sheetViews>
    <sheetView workbookViewId="0">
      <selection activeCell="G8" sqref="G8"/>
    </sheetView>
  </sheetViews>
  <sheetFormatPr defaultRowHeight="15" x14ac:dyDescent="0.25"/>
  <cols>
    <col min="1" max="1" width="26.5703125" bestFit="1" customWidth="1"/>
    <col min="2" max="3" width="16" bestFit="1" customWidth="1"/>
    <col min="4" max="4" width="8.140625" bestFit="1" customWidth="1"/>
    <col min="5" max="6" width="12" bestFit="1" customWidth="1"/>
    <col min="7" max="7" width="10.42578125" bestFit="1" customWidth="1"/>
  </cols>
  <sheetData>
    <row r="1" spans="1:7" x14ac:dyDescent="0.25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  <c r="G1" s="4"/>
    </row>
    <row r="2" spans="1:7" x14ac:dyDescent="0.25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7" x14ac:dyDescent="0.25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7" x14ac:dyDescent="0.25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7" x14ac:dyDescent="0.25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7" x14ac:dyDescent="0.25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7" x14ac:dyDescent="0.25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7" x14ac:dyDescent="0.25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7" x14ac:dyDescent="0.25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7" x14ac:dyDescent="0.25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7" x14ac:dyDescent="0.25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7" x14ac:dyDescent="0.25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7" x14ac:dyDescent="0.25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7" x14ac:dyDescent="0.25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7" x14ac:dyDescent="0.25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7" x14ac:dyDescent="0.25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 x14ac:dyDescent="0.25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 x14ac:dyDescent="0.25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 x14ac:dyDescent="0.25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 x14ac:dyDescent="0.25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 x14ac:dyDescent="0.25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 x14ac:dyDescent="0.25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 x14ac:dyDescent="0.25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 x14ac:dyDescent="0.25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 x14ac:dyDescent="0.25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 x14ac:dyDescent="0.25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 x14ac:dyDescent="0.25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 x14ac:dyDescent="0.25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 x14ac:dyDescent="0.25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 x14ac:dyDescent="0.25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 x14ac:dyDescent="0.25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 x14ac:dyDescent="0.25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 x14ac:dyDescent="0.25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 x14ac:dyDescent="0.25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 x14ac:dyDescent="0.25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 x14ac:dyDescent="0.25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 x14ac:dyDescent="0.25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 x14ac:dyDescent="0.25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 x14ac:dyDescent="0.25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 x14ac:dyDescent="0.25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 x14ac:dyDescent="0.25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 x14ac:dyDescent="0.25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 x14ac:dyDescent="0.25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 x14ac:dyDescent="0.25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 x14ac:dyDescent="0.25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 x14ac:dyDescent="0.25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 x14ac:dyDescent="0.25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 x14ac:dyDescent="0.25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 x14ac:dyDescent="0.25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 x14ac:dyDescent="0.25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 x14ac:dyDescent="0.25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 x14ac:dyDescent="0.25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 x14ac:dyDescent="0.25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 x14ac:dyDescent="0.25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M55"/>
  <sheetViews>
    <sheetView workbookViewId="0">
      <selection activeCell="N18" sqref="N18"/>
    </sheetView>
  </sheetViews>
  <sheetFormatPr defaultRowHeight="15" x14ac:dyDescent="0.25"/>
  <cols>
    <col min="1" max="1" width="30.42578125" customWidth="1"/>
    <col min="2" max="2" width="25.140625" bestFit="1" customWidth="1"/>
    <col min="3" max="3" width="14.85546875" bestFit="1" customWidth="1"/>
    <col min="4" max="4" width="11.5703125" bestFit="1" customWidth="1"/>
    <col min="5" max="5" width="12.5703125" bestFit="1" customWidth="1"/>
    <col min="6" max="6" width="19.5703125" bestFit="1" customWidth="1"/>
    <col min="7" max="7" width="11.5703125" bestFit="1" customWidth="1"/>
    <col min="8" max="8" width="12.5703125" bestFit="1" customWidth="1"/>
    <col min="9" max="9" width="11.85546875" bestFit="1" customWidth="1"/>
    <col min="10" max="10" width="10.140625" bestFit="1" customWidth="1"/>
    <col min="11" max="11" width="11.85546875" bestFit="1" customWidth="1"/>
    <col min="12" max="12" width="10.85546875" bestFit="1" customWidth="1"/>
    <col min="13" max="13" width="11.5703125" bestFit="1" customWidth="1"/>
    <col min="14" max="14" width="12.5703125" bestFit="1" customWidth="1"/>
    <col min="15" max="15" width="11.85546875" bestFit="1" customWidth="1"/>
    <col min="16" max="16" width="10.140625" bestFit="1" customWidth="1"/>
    <col min="19" max="19" width="10.140625" bestFit="1" customWidth="1"/>
  </cols>
  <sheetData>
    <row r="1" spans="1:13" x14ac:dyDescent="0.25">
      <c r="A1" s="4"/>
      <c r="D1" s="4">
        <v>45539</v>
      </c>
      <c r="G1" s="4">
        <v>45548</v>
      </c>
      <c r="J1" s="4">
        <v>45566</v>
      </c>
      <c r="M1" s="4"/>
    </row>
    <row r="2" spans="1:13" x14ac:dyDescent="0.25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  <c r="J2" t="s">
        <v>157</v>
      </c>
      <c r="K2" t="s">
        <v>160</v>
      </c>
      <c r="L2" t="s">
        <v>161</v>
      </c>
    </row>
    <row r="3" spans="1:13" x14ac:dyDescent="0.25">
      <c r="B3" s="2" t="s">
        <v>31</v>
      </c>
      <c r="C3" t="s">
        <v>32</v>
      </c>
      <c r="D3">
        <v>473268357</v>
      </c>
      <c r="E3">
        <v>3994952855.1083999</v>
      </c>
      <c r="F3" s="5">
        <f>SUM($D$3+$E$3)</f>
        <v>4468221212.1084003</v>
      </c>
      <c r="G3">
        <v>481260857</v>
      </c>
      <c r="H3">
        <v>4101882536.3824</v>
      </c>
      <c r="I3" s="5">
        <f>SUM($G$3+$H$3)</f>
        <v>4583143393.3824005</v>
      </c>
      <c r="J3">
        <v>502900097</v>
      </c>
      <c r="K3">
        <v>4467814751.7577</v>
      </c>
      <c r="L3">
        <f>SUM($J$3+$K$3)</f>
        <v>4970714848.7577</v>
      </c>
    </row>
    <row r="4" spans="1:13" x14ac:dyDescent="0.25">
      <c r="B4" t="s">
        <v>122</v>
      </c>
      <c r="C4" t="s">
        <v>123</v>
      </c>
      <c r="D4">
        <v>465215851</v>
      </c>
      <c r="E4">
        <v>3513030977.2413998</v>
      </c>
      <c r="F4">
        <f>SUM($D$4+$E$4)</f>
        <v>3978246828.2413998</v>
      </c>
      <c r="G4">
        <v>460920976</v>
      </c>
      <c r="H4">
        <v>3425795154.1199999</v>
      </c>
      <c r="I4">
        <f>SUM($G$4+$H$4)</f>
        <v>3886716130.1199999</v>
      </c>
      <c r="J4">
        <v>468395486</v>
      </c>
      <c r="K4">
        <v>3554981220.0942001</v>
      </c>
      <c r="L4">
        <f>SUM($J$4+$K$4)</f>
        <v>4023376706.0942001</v>
      </c>
    </row>
    <row r="5" spans="1:13" x14ac:dyDescent="0.25">
      <c r="B5" s="2" t="s">
        <v>24</v>
      </c>
      <c r="C5" t="s">
        <v>20</v>
      </c>
      <c r="D5">
        <v>452551276</v>
      </c>
      <c r="E5">
        <v>3321047538.9260001</v>
      </c>
      <c r="F5">
        <f>SUM($D$5+$E$5)</f>
        <v>3773598814.9260001</v>
      </c>
      <c r="G5">
        <v>458778966</v>
      </c>
      <c r="H5">
        <v>3422903987.4294</v>
      </c>
      <c r="I5">
        <f>SUM($G$5+$H$5)</f>
        <v>3881682953.4294</v>
      </c>
      <c r="J5">
        <v>491340456</v>
      </c>
      <c r="K5">
        <v>3778752044.9592004</v>
      </c>
      <c r="L5">
        <f>SUM($J$5+$K$5)</f>
        <v>4270092500.9592004</v>
      </c>
    </row>
    <row r="6" spans="1:13" x14ac:dyDescent="0.25">
      <c r="B6" s="2" t="s">
        <v>46</v>
      </c>
      <c r="C6" t="s">
        <v>45</v>
      </c>
      <c r="D6">
        <v>417958832</v>
      </c>
      <c r="E6">
        <v>2782895291.1056004</v>
      </c>
      <c r="F6">
        <f>SUM($D$6+$E$6)</f>
        <v>3200854123.1056004</v>
      </c>
      <c r="G6">
        <v>458014303</v>
      </c>
      <c r="H6">
        <v>3262435880.2689996</v>
      </c>
      <c r="I6">
        <f>SUM($G$6+$H$6)</f>
        <v>3720450183.2689996</v>
      </c>
      <c r="J6">
        <v>515408617</v>
      </c>
      <c r="K6">
        <v>3912312189.0619001</v>
      </c>
      <c r="L6">
        <f>SUM($J$6+$K$6)</f>
        <v>4427720806.0619001</v>
      </c>
    </row>
    <row r="7" spans="1:13" x14ac:dyDescent="0.25">
      <c r="B7" s="1" t="s">
        <v>5</v>
      </c>
      <c r="C7" t="s">
        <v>3</v>
      </c>
      <c r="D7">
        <v>416679587</v>
      </c>
      <c r="E7">
        <v>2696250271.5596004</v>
      </c>
      <c r="F7">
        <f>SUM($D$7+$E$7)</f>
        <v>3112929858.5596004</v>
      </c>
      <c r="G7">
        <v>427931697</v>
      </c>
      <c r="H7">
        <v>2841723227.0981998</v>
      </c>
      <c r="I7">
        <f>SUM($G$7+$H$7)</f>
        <v>3269654924.0981998</v>
      </c>
      <c r="J7">
        <v>446109417</v>
      </c>
      <c r="K7">
        <v>3027387725.6454</v>
      </c>
      <c r="L7">
        <f>SUM($J$7+$K$7)</f>
        <v>3473497142.6454</v>
      </c>
    </row>
    <row r="8" spans="1:13" x14ac:dyDescent="0.25">
      <c r="B8" s="1" t="s">
        <v>1</v>
      </c>
      <c r="C8" t="s">
        <v>0</v>
      </c>
      <c r="D8">
        <v>293442005</v>
      </c>
      <c r="E8">
        <v>1719570149.3</v>
      </c>
      <c r="F8">
        <f>SUM($D$8+$E$8)</f>
        <v>2013012154.3</v>
      </c>
      <c r="G8">
        <v>296886770</v>
      </c>
      <c r="H8">
        <v>1763240215.707</v>
      </c>
      <c r="I8">
        <f>SUM($G$8+$H$8)</f>
        <v>2060126985.707</v>
      </c>
      <c r="J8">
        <v>326824763</v>
      </c>
      <c r="K8">
        <v>2125439481.2179</v>
      </c>
      <c r="L8">
        <f>SUM($J$8+$K$8)</f>
        <v>2452264244.2179003</v>
      </c>
    </row>
    <row r="9" spans="1:13" x14ac:dyDescent="0.25">
      <c r="B9" s="2" t="s">
        <v>44</v>
      </c>
      <c r="C9" t="s">
        <v>43</v>
      </c>
      <c r="D9">
        <v>297627873</v>
      </c>
      <c r="E9">
        <v>1666180358.6286001</v>
      </c>
      <c r="F9">
        <f>SUM($D$9+$E$9)</f>
        <v>1963808231.6286001</v>
      </c>
      <c r="G9">
        <v>311521068</v>
      </c>
      <c r="H9">
        <v>1786635629.1935999</v>
      </c>
      <c r="I9">
        <f>SUM($G$9+$H$9)</f>
        <v>2098156697.1935999</v>
      </c>
      <c r="J9">
        <v>347977352</v>
      </c>
      <c r="K9">
        <v>2172492204.0064001</v>
      </c>
      <c r="L9">
        <f>SUM($J$9+$K$9)</f>
        <v>2520469556.0064001</v>
      </c>
    </row>
    <row r="10" spans="1:13" x14ac:dyDescent="0.25">
      <c r="B10" s="2" t="s">
        <v>48</v>
      </c>
      <c r="C10" s="2" t="s">
        <v>47</v>
      </c>
      <c r="D10">
        <v>245307834</v>
      </c>
      <c r="E10">
        <v>1168940890.5767999</v>
      </c>
      <c r="F10">
        <f>SUM($D$10+$E$10)</f>
        <v>1414248724.5767999</v>
      </c>
      <c r="G10">
        <v>254623999</v>
      </c>
      <c r="H10">
        <v>1247071959.9022999</v>
      </c>
      <c r="I10">
        <f>SUM($G$10+$H$10)</f>
        <v>1501695958.9022999</v>
      </c>
      <c r="J10">
        <v>263907874</v>
      </c>
      <c r="K10">
        <v>1439854969.7566001</v>
      </c>
      <c r="L10">
        <f>SUM($J$10+$K$10)</f>
        <v>1703762843.7566001</v>
      </c>
    </row>
    <row r="11" spans="1:13" x14ac:dyDescent="0.25">
      <c r="B11" t="s">
        <v>141</v>
      </c>
      <c r="C11" t="s">
        <v>142</v>
      </c>
      <c r="D11">
        <v>256781218</v>
      </c>
      <c r="E11">
        <v>998545122.43659997</v>
      </c>
      <c r="F11">
        <f>SUM($D$11+$E$11)</f>
        <v>1255326340.4366</v>
      </c>
      <c r="G11">
        <v>268513618</v>
      </c>
      <c r="H11">
        <v>1094649466.5006001</v>
      </c>
      <c r="I11">
        <f>SUM($G$11+$H$11)</f>
        <v>1363163084.5006001</v>
      </c>
      <c r="J11">
        <v>275215438</v>
      </c>
      <c r="K11">
        <v>1247276365.016</v>
      </c>
      <c r="L11">
        <f>SUM($J$11+$K$11)</f>
        <v>1522491803.016</v>
      </c>
    </row>
    <row r="12" spans="1:13" x14ac:dyDescent="0.25">
      <c r="B12" s="2" t="s">
        <v>60</v>
      </c>
      <c r="C12" t="s">
        <v>106</v>
      </c>
      <c r="D12">
        <v>290955858</v>
      </c>
      <c r="E12">
        <v>777463148.16179991</v>
      </c>
      <c r="F12">
        <f>SUM($D$12+$E$12)</f>
        <v>1068419006.1617999</v>
      </c>
      <c r="G12">
        <v>308853213</v>
      </c>
      <c r="H12">
        <v>986291850.39419997</v>
      </c>
      <c r="I12">
        <f>SUM($G$12+$H$12)</f>
        <v>1295145063.3941998</v>
      </c>
      <c r="J12">
        <v>305799613</v>
      </c>
      <c r="K12">
        <v>1036324308.4957</v>
      </c>
      <c r="L12">
        <f>SUM($J$12+$K$12)</f>
        <v>1342123921.4956999</v>
      </c>
    </row>
    <row r="13" spans="1:13" x14ac:dyDescent="0.25">
      <c r="B13" s="2" t="s">
        <v>50</v>
      </c>
      <c r="C13" t="s">
        <v>49</v>
      </c>
      <c r="D13">
        <v>153450336</v>
      </c>
      <c r="E13">
        <v>647990078.86079991</v>
      </c>
      <c r="F13">
        <f>SUM($D$13+$E$13)</f>
        <v>801440414.86079991</v>
      </c>
      <c r="G13">
        <v>173467026</v>
      </c>
      <c r="H13">
        <v>787748458.47119999</v>
      </c>
      <c r="I13">
        <f>SUM($G$13+$H$13)</f>
        <v>961215484.47119999</v>
      </c>
      <c r="J13">
        <v>174579646</v>
      </c>
      <c r="K13">
        <v>861969544.16040003</v>
      </c>
      <c r="L13">
        <f>SUM($J$13+$K$13)</f>
        <v>1036549190.1604</v>
      </c>
    </row>
    <row r="14" spans="1:13" x14ac:dyDescent="0.25">
      <c r="B14" t="s">
        <v>125</v>
      </c>
      <c r="C14" t="s">
        <v>126</v>
      </c>
      <c r="D14">
        <v>172068084</v>
      </c>
      <c r="E14">
        <v>631575902.32200003</v>
      </c>
      <c r="F14">
        <f>SUM($D$14+$E$14)</f>
        <v>803643986.32200003</v>
      </c>
      <c r="G14">
        <v>181082534</v>
      </c>
      <c r="H14">
        <v>680580595.78559995</v>
      </c>
      <c r="I14">
        <f>SUM($G$14+$H$14)</f>
        <v>861663129.78559995</v>
      </c>
      <c r="J14">
        <v>190361904</v>
      </c>
      <c r="K14">
        <v>786385025.42400002</v>
      </c>
      <c r="L14">
        <f>SUM($J$14+$K$14)</f>
        <v>976746929.42400002</v>
      </c>
    </row>
    <row r="15" spans="1:13" x14ac:dyDescent="0.25">
      <c r="B15" t="s">
        <v>134</v>
      </c>
      <c r="C15" t="s">
        <v>135</v>
      </c>
      <c r="D15">
        <v>178489769</v>
      </c>
      <c r="E15">
        <v>598940268.85640001</v>
      </c>
      <c r="F15">
        <f>SUM($D$15+$E$15)</f>
        <v>777430037.85640001</v>
      </c>
      <c r="G15">
        <v>195693359</v>
      </c>
      <c r="H15">
        <v>693556833.63190007</v>
      </c>
      <c r="I15">
        <f>SUM($G$15+$H$15)</f>
        <v>889250192.63190007</v>
      </c>
      <c r="J15">
        <v>206724694</v>
      </c>
      <c r="K15">
        <v>864274600.67519999</v>
      </c>
      <c r="L15">
        <f>SUM($J$15+$K$15)</f>
        <v>1070999294.6752</v>
      </c>
    </row>
    <row r="16" spans="1:13" x14ac:dyDescent="0.25">
      <c r="B16" s="3" t="s">
        <v>90</v>
      </c>
      <c r="C16" t="s">
        <v>88</v>
      </c>
      <c r="D16">
        <v>137664626</v>
      </c>
      <c r="E16">
        <v>598083967.65699995</v>
      </c>
      <c r="F16">
        <f>SUM($D$16+$E$16)</f>
        <v>735748593.65699995</v>
      </c>
      <c r="G16">
        <v>142205626</v>
      </c>
      <c r="H16">
        <v>624567109.39199996</v>
      </c>
      <c r="I16">
        <f>SUM($G$16+$H$16)</f>
        <v>766772735.39199996</v>
      </c>
      <c r="J16">
        <v>142433976</v>
      </c>
      <c r="K16">
        <v>624174169.62720001</v>
      </c>
      <c r="L16">
        <f>SUM($J$16+$K$16)</f>
        <v>766608145.62720001</v>
      </c>
    </row>
    <row r="17" spans="2:12" x14ac:dyDescent="0.25">
      <c r="B17" s="2" t="s">
        <v>95</v>
      </c>
      <c r="C17" t="s">
        <v>94</v>
      </c>
      <c r="D17">
        <v>144648009</v>
      </c>
      <c r="E17">
        <v>596094445.08899999</v>
      </c>
      <c r="F17">
        <f>SUM($D$17+$E$17)</f>
        <v>740742454.08899999</v>
      </c>
      <c r="G17">
        <v>210234519</v>
      </c>
      <c r="H17">
        <v>1063408244.0058</v>
      </c>
      <c r="I17">
        <f>SUM($G$17+$H$17)</f>
        <v>1273642763.0058</v>
      </c>
      <c r="J17">
        <v>247481064</v>
      </c>
      <c r="K17">
        <v>1437221531.0736001</v>
      </c>
      <c r="L17">
        <f>SUM($J$17+$K$17)</f>
        <v>1684702595.0736001</v>
      </c>
    </row>
    <row r="18" spans="2:12" x14ac:dyDescent="0.25">
      <c r="B18" t="s">
        <v>6</v>
      </c>
      <c r="C18" t="s">
        <v>4</v>
      </c>
      <c r="D18">
        <v>150860945</v>
      </c>
      <c r="E18">
        <v>529144764.58749998</v>
      </c>
      <c r="F18">
        <f>SUM($D$18+$E$18)</f>
        <v>680005709.58749998</v>
      </c>
      <c r="G18">
        <v>166062440</v>
      </c>
      <c r="H18">
        <v>651529377.09599996</v>
      </c>
      <c r="I18">
        <f>SUM($G$18+$H$18)</f>
        <v>817591817.09599996</v>
      </c>
      <c r="J18">
        <v>162982211</v>
      </c>
      <c r="K18">
        <v>669009379.71280003</v>
      </c>
      <c r="L18">
        <f>SUM($J$18+$K$18)</f>
        <v>831991590.71280003</v>
      </c>
    </row>
    <row r="19" spans="2:12" x14ac:dyDescent="0.25">
      <c r="B19" s="2" t="s">
        <v>40</v>
      </c>
      <c r="C19" t="s">
        <v>39</v>
      </c>
      <c r="D19">
        <v>162941821</v>
      </c>
      <c r="E19">
        <v>503539109.43629998</v>
      </c>
      <c r="F19">
        <f>SUM($D$19+$E$19)</f>
        <v>666480930.43630004</v>
      </c>
      <c r="G19">
        <v>173105151</v>
      </c>
      <c r="H19">
        <v>565084454.92439997</v>
      </c>
      <c r="I19">
        <f>SUM($G$19+$H$19)</f>
        <v>738189605.92439997</v>
      </c>
      <c r="J19">
        <v>176261836</v>
      </c>
      <c r="K19">
        <v>665176916.69679999</v>
      </c>
      <c r="L19">
        <f>SUM($J$19+$K$19)</f>
        <v>841438752.69679999</v>
      </c>
    </row>
    <row r="20" spans="2:12" x14ac:dyDescent="0.25">
      <c r="B20" t="s">
        <v>131</v>
      </c>
      <c r="C20" t="s">
        <v>132</v>
      </c>
      <c r="D20">
        <v>149001966</v>
      </c>
      <c r="E20">
        <v>514622990.17079997</v>
      </c>
      <c r="F20">
        <f>SUM($D$20+$E$20)</f>
        <v>663624956.17079997</v>
      </c>
      <c r="G20">
        <v>165844676</v>
      </c>
      <c r="H20">
        <v>623642319.63040006</v>
      </c>
      <c r="I20">
        <f>SUM($G$20+$H$20)</f>
        <v>789486995.63040006</v>
      </c>
      <c r="J20">
        <v>179263645</v>
      </c>
      <c r="K20">
        <v>756958667.37699997</v>
      </c>
      <c r="L20">
        <f>SUM($J$20+$K$20)</f>
        <v>936222312.37699997</v>
      </c>
    </row>
    <row r="21" spans="2:12" x14ac:dyDescent="0.25">
      <c r="B21" t="s">
        <v>97</v>
      </c>
      <c r="C21" t="s">
        <v>98</v>
      </c>
      <c r="D21">
        <v>157727650</v>
      </c>
      <c r="E21">
        <v>435202131.88000005</v>
      </c>
      <c r="F21">
        <f>SUM($D$21+$E$21)</f>
        <v>592929781.88000011</v>
      </c>
      <c r="G21">
        <v>161025055</v>
      </c>
      <c r="H21">
        <v>468228654.92899996</v>
      </c>
      <c r="I21">
        <f>SUM($G$21+$H$21)</f>
        <v>629253709.9289999</v>
      </c>
      <c r="J21">
        <v>146539730</v>
      </c>
      <c r="K21">
        <v>465380874.53399998</v>
      </c>
      <c r="L21">
        <f>SUM($J$21+$K$21)</f>
        <v>611920604.53399992</v>
      </c>
    </row>
    <row r="22" spans="2:12" x14ac:dyDescent="0.25">
      <c r="B22" s="2" t="s">
        <v>29</v>
      </c>
      <c r="C22" t="s">
        <v>27</v>
      </c>
      <c r="D22">
        <v>157234429</v>
      </c>
      <c r="E22">
        <v>409407006.23019999</v>
      </c>
      <c r="F22">
        <f>SUM($D$22+$E$22)</f>
        <v>566641435.23020005</v>
      </c>
      <c r="G22">
        <v>176005164</v>
      </c>
      <c r="H22">
        <v>494257701.54479998</v>
      </c>
      <c r="I22">
        <f>SUM($G$22+$H$22)</f>
        <v>670262865.54480004</v>
      </c>
      <c r="J22">
        <v>195776192</v>
      </c>
      <c r="K22">
        <v>654088257.472</v>
      </c>
      <c r="L22">
        <f>SUM($J$22+$K$22)</f>
        <v>849864449.472</v>
      </c>
    </row>
    <row r="23" spans="2:12" x14ac:dyDescent="0.25">
      <c r="B23" t="s">
        <v>154</v>
      </c>
      <c r="C23" t="s">
        <v>155</v>
      </c>
      <c r="D23">
        <v>141202446</v>
      </c>
      <c r="E23">
        <v>410503751.01120001</v>
      </c>
      <c r="F23">
        <f>SUM($D$23+$E$23)</f>
        <v>551706197.01119995</v>
      </c>
      <c r="G23">
        <v>154410036</v>
      </c>
      <c r="H23">
        <v>502573785.1728</v>
      </c>
      <c r="I23">
        <f>SUM($G$23+$H$23)</f>
        <v>656983821.17280006</v>
      </c>
      <c r="J23">
        <v>157062451</v>
      </c>
      <c r="K23">
        <v>567215335.54139996</v>
      </c>
      <c r="L23">
        <f>SUM($J$23+$K$23)</f>
        <v>724277786.54139996</v>
      </c>
    </row>
    <row r="24" spans="2:12" x14ac:dyDescent="0.25">
      <c r="B24" s="2" t="s">
        <v>28</v>
      </c>
      <c r="C24" t="s">
        <v>26</v>
      </c>
      <c r="D24">
        <v>126656891</v>
      </c>
      <c r="E24">
        <v>369812790.34180003</v>
      </c>
      <c r="F24">
        <f>SUM($D$24+$E$24)</f>
        <v>496469681.34180003</v>
      </c>
      <c r="G24">
        <v>128477891</v>
      </c>
      <c r="H24">
        <v>380024753.78890002</v>
      </c>
      <c r="I24">
        <f>SUM($G$24+$H$24)</f>
        <v>508502644.78890002</v>
      </c>
      <c r="J24">
        <v>120706531</v>
      </c>
      <c r="K24">
        <v>418960298.4479</v>
      </c>
      <c r="L24">
        <f>SUM($J$24+$K$24)</f>
        <v>539666829.44790006</v>
      </c>
    </row>
    <row r="25" spans="2:12" x14ac:dyDescent="0.25">
      <c r="B25" s="2" t="s">
        <v>93</v>
      </c>
      <c r="C25" t="s">
        <v>91</v>
      </c>
      <c r="D25">
        <v>115755846</v>
      </c>
      <c r="E25">
        <v>362686216.68720001</v>
      </c>
      <c r="F25">
        <f>SUM($D$25+$E$25)</f>
        <v>478442062.68720001</v>
      </c>
      <c r="G25">
        <v>115755846</v>
      </c>
      <c r="H25">
        <v>362686216.68720001</v>
      </c>
      <c r="I25">
        <f>SUM($G$25+$H$25)</f>
        <v>478442062.68720001</v>
      </c>
      <c r="J25">
        <v>113320246</v>
      </c>
      <c r="K25">
        <v>392292027.60280001</v>
      </c>
      <c r="L25">
        <f>SUM($J$25+$K$25)</f>
        <v>505612273.60280001</v>
      </c>
    </row>
    <row r="26" spans="2:12" x14ac:dyDescent="0.25">
      <c r="B26" t="s">
        <v>107</v>
      </c>
      <c r="C26" t="s">
        <v>108</v>
      </c>
      <c r="D26">
        <v>119280906</v>
      </c>
      <c r="E26">
        <v>334523300.87699997</v>
      </c>
      <c r="F26">
        <f>SUM($D$26+$E$26)</f>
        <v>453804206.87699997</v>
      </c>
      <c r="G26">
        <v>122905136</v>
      </c>
      <c r="H26">
        <v>346973489.44160002</v>
      </c>
      <c r="I26">
        <f>SUM($G$26+$H$26)</f>
        <v>469878625.44160002</v>
      </c>
      <c r="J26">
        <v>126512386</v>
      </c>
      <c r="K26">
        <v>393984872.48120004</v>
      </c>
      <c r="L26">
        <f>SUM($J$26+$K$26)</f>
        <v>520497258.48120004</v>
      </c>
    </row>
    <row r="27" spans="2:12" x14ac:dyDescent="0.25">
      <c r="B27" t="s">
        <v>144</v>
      </c>
      <c r="C27" t="s">
        <v>150</v>
      </c>
      <c r="D27">
        <v>97737666</v>
      </c>
      <c r="E27">
        <v>321136649.17619997</v>
      </c>
      <c r="F27">
        <f>SUM($D$27+$E$27)</f>
        <v>418874315.17619997</v>
      </c>
      <c r="G27">
        <v>100648646</v>
      </c>
      <c r="H27">
        <v>337293742.4752</v>
      </c>
      <c r="I27">
        <f>SUM($G$27+$H$27)</f>
        <v>437942388.4752</v>
      </c>
      <c r="J27">
        <v>96192016</v>
      </c>
      <c r="K27">
        <v>357641915.48800004</v>
      </c>
      <c r="L27">
        <f>SUM($J$27+$K$27)</f>
        <v>453833931.48800004</v>
      </c>
    </row>
    <row r="28" spans="2:12" x14ac:dyDescent="0.25">
      <c r="B28" t="s">
        <v>110</v>
      </c>
      <c r="C28" t="s">
        <v>111</v>
      </c>
      <c r="D28">
        <v>94838906</v>
      </c>
      <c r="E28">
        <v>261347573.2642</v>
      </c>
      <c r="F28">
        <f>SUM($D$28+$E$28)</f>
        <v>356186479.26419997</v>
      </c>
      <c r="G28">
        <v>98640246</v>
      </c>
      <c r="H28">
        <v>282180151.73219997</v>
      </c>
      <c r="I28">
        <f>SUM($G$28+$H$28)</f>
        <v>380820397.73219997</v>
      </c>
      <c r="J28">
        <v>100037091</v>
      </c>
      <c r="K28">
        <v>308774485.08060002</v>
      </c>
      <c r="L28">
        <f>SUM($J$28+$K$28)</f>
        <v>408811576.08060002</v>
      </c>
    </row>
    <row r="29" spans="2:12" x14ac:dyDescent="0.25">
      <c r="B29" s="2" t="s">
        <v>14</v>
      </c>
      <c r="C29" t="s">
        <v>12</v>
      </c>
      <c r="D29">
        <v>94358075</v>
      </c>
      <c r="E29">
        <v>170986267.70750001</v>
      </c>
      <c r="F29">
        <f>SUM($D$29+$E$29)</f>
        <v>265344342.70750001</v>
      </c>
      <c r="G29">
        <v>101224445</v>
      </c>
      <c r="H29">
        <v>204807419.56850001</v>
      </c>
      <c r="I29">
        <f>SUM($G$29+$H$29)</f>
        <v>306031864.56850004</v>
      </c>
      <c r="J29">
        <v>93534895</v>
      </c>
      <c r="K29">
        <v>204121201.3585</v>
      </c>
      <c r="L29">
        <f>SUM($J$29+$K$29)</f>
        <v>297656096.3585</v>
      </c>
    </row>
    <row r="30" spans="2:12" x14ac:dyDescent="0.25">
      <c r="B30" t="s">
        <v>138</v>
      </c>
      <c r="C30" t="s">
        <v>139</v>
      </c>
      <c r="D30">
        <v>82423174</v>
      </c>
      <c r="E30">
        <v>225138899.78099999</v>
      </c>
      <c r="F30">
        <f>SUM($D$30+$E$30)</f>
        <v>307562073.78100002</v>
      </c>
      <c r="G30">
        <v>84709434</v>
      </c>
      <c r="H30">
        <v>235026324.63299999</v>
      </c>
      <c r="I30">
        <f>SUM($G$30+$H$30)</f>
        <v>319735758.63300002</v>
      </c>
      <c r="J30">
        <v>102511899</v>
      </c>
      <c r="K30">
        <v>354691170.54000002</v>
      </c>
      <c r="L30">
        <f>SUM($J$30+$K$30)</f>
        <v>457203069.54000002</v>
      </c>
    </row>
    <row r="31" spans="2:12" x14ac:dyDescent="0.25">
      <c r="B31" t="s">
        <v>113</v>
      </c>
      <c r="C31" t="s">
        <v>114</v>
      </c>
      <c r="D31">
        <v>95657096</v>
      </c>
      <c r="E31">
        <v>213946660.9136</v>
      </c>
      <c r="F31">
        <f>SUM($D$31+$E$31)</f>
        <v>309603756.91359997</v>
      </c>
      <c r="G31">
        <v>107839026</v>
      </c>
      <c r="H31">
        <v>259697942.41319999</v>
      </c>
      <c r="I31">
        <f>SUM($G$31+$H$31)</f>
        <v>367536968.41320002</v>
      </c>
      <c r="J31">
        <v>118463595</v>
      </c>
      <c r="K31">
        <v>321652353.14399999</v>
      </c>
      <c r="L31">
        <f>SUM($J$31+$K$31)</f>
        <v>440115948.14399999</v>
      </c>
    </row>
    <row r="32" spans="2:12" x14ac:dyDescent="0.25">
      <c r="B32" t="s">
        <v>100</v>
      </c>
      <c r="C32" t="s">
        <v>101</v>
      </c>
      <c r="D32">
        <v>101008370</v>
      </c>
      <c r="E32">
        <v>193471431.898</v>
      </c>
      <c r="F32">
        <f>SUM($D$32+$E$32)</f>
        <v>294479801.898</v>
      </c>
      <c r="G32">
        <v>104776045</v>
      </c>
      <c r="H32">
        <v>212789669.79050002</v>
      </c>
      <c r="I32">
        <f>SUM($G$32+$H$32)</f>
        <v>317565714.79050004</v>
      </c>
      <c r="J32">
        <v>101449465</v>
      </c>
      <c r="K32">
        <v>257925119.81600001</v>
      </c>
      <c r="L32">
        <f>SUM($J$32+$K$32)</f>
        <v>359374584.81599998</v>
      </c>
    </row>
    <row r="33" spans="2:12" x14ac:dyDescent="0.25">
      <c r="B33" s="2" t="s">
        <v>23</v>
      </c>
      <c r="C33" t="s">
        <v>18</v>
      </c>
      <c r="D33">
        <v>76496380</v>
      </c>
      <c r="E33">
        <v>154186103.528</v>
      </c>
      <c r="F33">
        <f>SUM($D$33+$E$33)</f>
        <v>230682483.528</v>
      </c>
      <c r="G33">
        <v>93684420</v>
      </c>
      <c r="H33">
        <v>228458826.61200002</v>
      </c>
      <c r="I33">
        <f>SUM($G$33+$H$33)</f>
        <v>322143246.61199999</v>
      </c>
      <c r="J33">
        <v>93591890</v>
      </c>
      <c r="K33">
        <v>273035620.69700003</v>
      </c>
      <c r="L33">
        <f>SUM($J$33+$K$33)</f>
        <v>366627510.69700003</v>
      </c>
    </row>
    <row r="34" spans="2:12" x14ac:dyDescent="0.25">
      <c r="B34" t="s">
        <v>116</v>
      </c>
      <c r="C34" t="s">
        <v>117</v>
      </c>
      <c r="D34">
        <v>64480061</v>
      </c>
      <c r="E34">
        <v>129243834.2684</v>
      </c>
      <c r="F34">
        <f>SUM($D$34+$E$34)</f>
        <v>193723895.26840001</v>
      </c>
      <c r="G34">
        <v>69988181</v>
      </c>
      <c r="H34">
        <v>143860706.04550001</v>
      </c>
      <c r="I34">
        <f>SUM($G$34+$H$34)</f>
        <v>213848887.04550001</v>
      </c>
      <c r="J34">
        <v>61428476</v>
      </c>
      <c r="K34">
        <v>145524059.64399999</v>
      </c>
      <c r="L34">
        <f>SUM($J$34+$K$34)</f>
        <v>206952535.64399999</v>
      </c>
    </row>
    <row r="35" spans="2:12" x14ac:dyDescent="0.25">
      <c r="B35" s="2" t="s">
        <v>37</v>
      </c>
      <c r="C35" t="s">
        <v>38</v>
      </c>
      <c r="D35">
        <v>79615680</v>
      </c>
      <c r="E35">
        <v>112958726.78399999</v>
      </c>
      <c r="F35">
        <f>SUM($D$35+$E$35)</f>
        <v>192574406.78399998</v>
      </c>
      <c r="G35">
        <v>89707960</v>
      </c>
      <c r="H35">
        <v>139226753.91999999</v>
      </c>
      <c r="I35">
        <f>SUM($G$35+$H$35)</f>
        <v>228934713.91999999</v>
      </c>
      <c r="J35">
        <v>81166840</v>
      </c>
      <c r="K35">
        <v>151952441.164</v>
      </c>
      <c r="L35">
        <f>SUM($J$35+$K$35)</f>
        <v>233119281.164</v>
      </c>
    </row>
    <row r="36" spans="2:12" x14ac:dyDescent="0.25">
      <c r="B36" s="2" t="s">
        <v>64</v>
      </c>
      <c r="C36" t="s">
        <v>63</v>
      </c>
      <c r="D36">
        <v>81891051</v>
      </c>
      <c r="E36">
        <v>100087242.53219999</v>
      </c>
      <c r="F36">
        <f>SUM($D$36+$E$36)</f>
        <v>181978293.53219998</v>
      </c>
      <c r="G36">
        <v>97825641</v>
      </c>
      <c r="H36">
        <v>141299355.86039999</v>
      </c>
      <c r="I36">
        <f>SUM($G$36+$H$36)</f>
        <v>239124996.86039999</v>
      </c>
      <c r="J36">
        <v>106017662</v>
      </c>
      <c r="K36">
        <v>184767581.33360001</v>
      </c>
      <c r="L36">
        <f>SUM($J$36+$K$36)</f>
        <v>290785243.33360004</v>
      </c>
    </row>
    <row r="37" spans="2:12" x14ac:dyDescent="0.25">
      <c r="B37" t="s">
        <v>147</v>
      </c>
      <c r="C37" t="s">
        <v>148</v>
      </c>
      <c r="D37">
        <v>68506270</v>
      </c>
      <c r="E37">
        <v>86667282.177000001</v>
      </c>
      <c r="F37">
        <f>SUM($D$37+$E$37)</f>
        <v>155173552.17699999</v>
      </c>
      <c r="G37">
        <v>93880825</v>
      </c>
      <c r="H37">
        <v>152180817.32499999</v>
      </c>
      <c r="I37">
        <f>SUM($G$37+$H$37)</f>
        <v>246061642.32499999</v>
      </c>
      <c r="J37">
        <v>94175645</v>
      </c>
      <c r="K37">
        <v>187089336.35699999</v>
      </c>
      <c r="L37">
        <f>SUM($J$37+$K$37)</f>
        <v>281264981.35699999</v>
      </c>
    </row>
    <row r="38" spans="2:12" x14ac:dyDescent="0.25">
      <c r="B38" s="2" t="s">
        <v>15</v>
      </c>
      <c r="C38" t="s">
        <v>11</v>
      </c>
      <c r="D38">
        <v>65710930</v>
      </c>
      <c r="E38">
        <v>88611189.104999989</v>
      </c>
      <c r="F38">
        <f>SUM($D$38+$E$38)</f>
        <v>154322119.10499999</v>
      </c>
      <c r="G38">
        <v>67442850</v>
      </c>
      <c r="H38">
        <v>97003051.155000001</v>
      </c>
      <c r="I38">
        <f>SUM($G$38+$H$38)</f>
        <v>164445901.155</v>
      </c>
      <c r="J38">
        <v>88067790</v>
      </c>
      <c r="K38">
        <v>188491490.93700001</v>
      </c>
      <c r="L38">
        <f>SUM($J$38+$K$38)</f>
        <v>276559280.93700004</v>
      </c>
    </row>
    <row r="39" spans="2:12" x14ac:dyDescent="0.25">
      <c r="B39" t="s">
        <v>58</v>
      </c>
      <c r="C39" s="2" t="s">
        <v>57</v>
      </c>
      <c r="D39">
        <v>57688305</v>
      </c>
      <c r="E39">
        <v>79015671.358500004</v>
      </c>
      <c r="F39">
        <f>SUM($D$39+$E$39)</f>
        <v>136703976.3585</v>
      </c>
      <c r="G39">
        <v>64822400</v>
      </c>
      <c r="H39">
        <v>98711550.719999999</v>
      </c>
      <c r="I39">
        <f>SUM($G$39+$H$39)</f>
        <v>163533950.72</v>
      </c>
      <c r="J39">
        <v>62373725</v>
      </c>
      <c r="K39">
        <v>106546797.045</v>
      </c>
      <c r="L39">
        <f>SUM($J$39+$K$39)</f>
        <v>168920522.04500002</v>
      </c>
    </row>
    <row r="40" spans="2:12" x14ac:dyDescent="0.25">
      <c r="B40" s="2" t="s">
        <v>41</v>
      </c>
      <c r="C40" s="2" t="s">
        <v>42</v>
      </c>
      <c r="D40">
        <v>56820886</v>
      </c>
      <c r="E40">
        <v>67633900.605800003</v>
      </c>
      <c r="F40">
        <f>SUM($D$40+$E$40)</f>
        <v>124454786.6058</v>
      </c>
      <c r="G40">
        <v>70109816</v>
      </c>
      <c r="H40">
        <v>102584682.7712</v>
      </c>
      <c r="I40">
        <f>SUM($G$40+$H$40)</f>
        <v>172694498.7712</v>
      </c>
      <c r="J40">
        <v>68596396</v>
      </c>
      <c r="K40">
        <v>113417281.1464</v>
      </c>
      <c r="L40">
        <f>SUM($J$40+$K$40)</f>
        <v>182013677.1464</v>
      </c>
    </row>
    <row r="41" spans="2:12" x14ac:dyDescent="0.25">
      <c r="B41" s="2" t="s">
        <v>52</v>
      </c>
      <c r="C41" s="2" t="s">
        <v>51</v>
      </c>
      <c r="D41">
        <v>47698676</v>
      </c>
      <c r="E41">
        <v>72201485.861200005</v>
      </c>
      <c r="F41">
        <f>SUM($D$41+$E$41)</f>
        <v>119900161.8612</v>
      </c>
      <c r="G41">
        <v>57221661</v>
      </c>
      <c r="H41">
        <v>98323980.096300006</v>
      </c>
      <c r="I41">
        <f>SUM($G$41+$H$41)</f>
        <v>155545641.09630001</v>
      </c>
      <c r="J41">
        <v>65801771</v>
      </c>
      <c r="K41">
        <v>138664072.02829999</v>
      </c>
      <c r="L41">
        <f>SUM($J$41+$K$41)</f>
        <v>204465843.02829999</v>
      </c>
    </row>
    <row r="42" spans="2:12" x14ac:dyDescent="0.25">
      <c r="B42" s="2" t="s">
        <v>16</v>
      </c>
      <c r="C42" t="s">
        <v>13</v>
      </c>
      <c r="D42">
        <v>45791945</v>
      </c>
      <c r="E42">
        <v>59868388.893000007</v>
      </c>
      <c r="F42">
        <f>SUM($D$42+$E$42)</f>
        <v>105660333.89300001</v>
      </c>
      <c r="G42">
        <v>49017690</v>
      </c>
      <c r="H42">
        <v>72320699.82599999</v>
      </c>
      <c r="I42">
        <f>SUM($G$42+$H$42)</f>
        <v>121338389.82599999</v>
      </c>
      <c r="J42">
        <v>40919075</v>
      </c>
      <c r="K42">
        <v>69296453.512500003</v>
      </c>
      <c r="L42">
        <f>SUM($J$42+$K$42)</f>
        <v>110215528.5125</v>
      </c>
    </row>
    <row r="43" spans="2:12" x14ac:dyDescent="0.25">
      <c r="B43" t="s">
        <v>119</v>
      </c>
      <c r="C43" t="s">
        <v>120</v>
      </c>
      <c r="D43">
        <v>49565241</v>
      </c>
      <c r="E43">
        <v>49208371.264799997</v>
      </c>
      <c r="F43">
        <f>SUM($D$43+$E$43)</f>
        <v>98773612.264799997</v>
      </c>
      <c r="G43">
        <v>51551241</v>
      </c>
      <c r="H43">
        <v>53499877.9098</v>
      </c>
      <c r="I43">
        <f>SUM($G$43+$H$43)</f>
        <v>105051118.90979999</v>
      </c>
      <c r="J43">
        <v>63306456</v>
      </c>
      <c r="K43">
        <v>83108715.436800003</v>
      </c>
      <c r="L43">
        <f>SUM($J$43+$K$43)</f>
        <v>146415171.4368</v>
      </c>
    </row>
    <row r="44" spans="2:12" x14ac:dyDescent="0.25">
      <c r="B44" s="2" t="s">
        <v>21</v>
      </c>
      <c r="C44" t="s">
        <v>19</v>
      </c>
      <c r="D44">
        <v>43003466</v>
      </c>
      <c r="E44">
        <v>43227084.023199998</v>
      </c>
      <c r="F44">
        <f>SUM($D$44+$E$44)</f>
        <v>86230550.023200005</v>
      </c>
      <c r="G44">
        <v>44462466</v>
      </c>
      <c r="H44">
        <v>45249451.648199998</v>
      </c>
      <c r="I44">
        <f>SUM($G$44+$H$44)</f>
        <v>89711917.648200005</v>
      </c>
      <c r="J44">
        <v>47165296</v>
      </c>
      <c r="K44">
        <v>50811173.380800001</v>
      </c>
      <c r="L44">
        <f>SUM($J$44+$K$44)</f>
        <v>97976469.380800009</v>
      </c>
    </row>
    <row r="45" spans="2:12" x14ac:dyDescent="0.25">
      <c r="B45" s="2" t="s">
        <v>30</v>
      </c>
      <c r="C45" t="s">
        <v>25</v>
      </c>
      <c r="D45">
        <v>30827781</v>
      </c>
      <c r="E45">
        <v>32424660.055800002</v>
      </c>
      <c r="F45">
        <f>SUM($D$45+$E$45)</f>
        <v>63252441.055800006</v>
      </c>
      <c r="G45">
        <v>44301626</v>
      </c>
      <c r="H45">
        <v>51478489.412</v>
      </c>
      <c r="I45">
        <f>SUM($G$45+$H$45)</f>
        <v>95780115.412</v>
      </c>
      <c r="J45">
        <v>43020916</v>
      </c>
      <c r="K45">
        <v>48028550.622400001</v>
      </c>
      <c r="L45">
        <f>SUM($J$45+$K$45)</f>
        <v>91049466.622400001</v>
      </c>
    </row>
    <row r="46" spans="2:12" x14ac:dyDescent="0.25">
      <c r="B46" s="2" t="s">
        <v>22</v>
      </c>
      <c r="C46" t="s">
        <v>17</v>
      </c>
      <c r="D46">
        <v>28150138</v>
      </c>
      <c r="E46">
        <v>28870781.5328</v>
      </c>
      <c r="F46">
        <f>SUM($D$46+$E$46)</f>
        <v>57020919.532800004</v>
      </c>
      <c r="G46">
        <v>31279675</v>
      </c>
      <c r="H46">
        <v>34004134.692499995</v>
      </c>
      <c r="I46">
        <f>SUM($G$46+$H$46)</f>
        <v>65283809.692499995</v>
      </c>
      <c r="J46">
        <v>39995340</v>
      </c>
      <c r="K46">
        <v>65772336.629999995</v>
      </c>
      <c r="L46">
        <f>SUM($J$46+$K$46)</f>
        <v>105767676.63</v>
      </c>
    </row>
    <row r="47" spans="2:12" x14ac:dyDescent="0.25">
      <c r="B47" s="2" t="s">
        <v>54</v>
      </c>
      <c r="C47" t="s">
        <v>53</v>
      </c>
      <c r="D47">
        <v>28123061</v>
      </c>
      <c r="E47">
        <v>29287355.725400001</v>
      </c>
      <c r="F47">
        <f>SUM($D$47+$E$47)</f>
        <v>57410416.725400001</v>
      </c>
      <c r="G47">
        <v>28123061</v>
      </c>
      <c r="H47">
        <v>29287355.725400001</v>
      </c>
      <c r="I47">
        <f>SUM($G$47+$H$47)</f>
        <v>57410416.725400001</v>
      </c>
      <c r="J47">
        <v>28123061</v>
      </c>
      <c r="K47">
        <v>29287355.725400001</v>
      </c>
      <c r="L47">
        <f>SUM($J$47+$K$47)</f>
        <v>57410416.725400001</v>
      </c>
    </row>
    <row r="48" spans="2:12" x14ac:dyDescent="0.25">
      <c r="B48" s="2" t="s">
        <v>36</v>
      </c>
      <c r="C48" t="s">
        <v>35</v>
      </c>
      <c r="D48">
        <v>23734190</v>
      </c>
      <c r="E48">
        <v>14648742.068</v>
      </c>
      <c r="F48">
        <f>SUM($D$48+$E$48)</f>
        <v>38382932.068000004</v>
      </c>
      <c r="G48">
        <v>32232290</v>
      </c>
      <c r="H48">
        <v>27710099.713</v>
      </c>
      <c r="I48">
        <f>SUM($G$48+$H$48)</f>
        <v>59942389.713</v>
      </c>
      <c r="J48">
        <v>48482069</v>
      </c>
      <c r="K48">
        <v>55191987.349600002</v>
      </c>
      <c r="L48">
        <f>SUM($J$48+$K$48)</f>
        <v>103674056.3496</v>
      </c>
    </row>
    <row r="49" spans="2:12" x14ac:dyDescent="0.25">
      <c r="B49" s="2" t="s">
        <v>34</v>
      </c>
      <c r="C49" t="s">
        <v>33</v>
      </c>
      <c r="D49">
        <v>19632252</v>
      </c>
      <c r="E49">
        <v>8473279.9631999992</v>
      </c>
      <c r="F49">
        <f>SUM($D$49+$E$49)</f>
        <v>28105531.963199999</v>
      </c>
      <c r="G49">
        <v>21379347</v>
      </c>
      <c r="H49">
        <v>9815258.2076999992</v>
      </c>
      <c r="I49">
        <f>SUM($G$49+$H$49)</f>
        <v>31194605.207699999</v>
      </c>
      <c r="J49">
        <v>21543497</v>
      </c>
      <c r="K49">
        <v>9890619.4726999998</v>
      </c>
      <c r="L49">
        <f>SUM($J$49+$K$49)</f>
        <v>31434116.4727</v>
      </c>
    </row>
    <row r="50" spans="2:12" x14ac:dyDescent="0.25">
      <c r="B50" s="3" t="s">
        <v>56</v>
      </c>
      <c r="C50" t="s">
        <v>55</v>
      </c>
      <c r="D50">
        <v>18010345</v>
      </c>
      <c r="E50">
        <v>9482446.6425000001</v>
      </c>
      <c r="F50">
        <f>SUM($D$50+$E$50)</f>
        <v>27492791.642499998</v>
      </c>
      <c r="G50">
        <v>18010345</v>
      </c>
      <c r="H50">
        <v>9482446.6425000001</v>
      </c>
      <c r="I50">
        <f>SUM($G$50+$H$50)</f>
        <v>27492791.642499998</v>
      </c>
      <c r="J50">
        <v>17876245</v>
      </c>
      <c r="K50">
        <v>10575586.541999999</v>
      </c>
      <c r="L50">
        <f>SUM($J$50+$K$50)</f>
        <v>28451831.541999999</v>
      </c>
    </row>
    <row r="51" spans="2:12" x14ac:dyDescent="0.25">
      <c r="B51" t="s">
        <v>128</v>
      </c>
      <c r="C51" t="s">
        <v>129</v>
      </c>
      <c r="D51">
        <v>16530145</v>
      </c>
      <c r="E51">
        <v>4833414.398</v>
      </c>
      <c r="F51">
        <f>SUM($D$51+$E$51)</f>
        <v>21363559.398000002</v>
      </c>
      <c r="G51">
        <v>16662585</v>
      </c>
      <c r="H51">
        <v>5551973.3219999997</v>
      </c>
      <c r="I51">
        <f>SUM($G$51+$H$51)</f>
        <v>22214558.322000001</v>
      </c>
      <c r="J51">
        <v>17778105</v>
      </c>
      <c r="K51">
        <v>7921923.5880000005</v>
      </c>
      <c r="L51">
        <f>SUM($J$51+$K$51)</f>
        <v>25700028.588</v>
      </c>
    </row>
    <row r="52" spans="2:12" x14ac:dyDescent="0.25">
      <c r="B52" t="s">
        <v>151</v>
      </c>
      <c r="C52" t="s">
        <v>145</v>
      </c>
      <c r="D52">
        <v>17987575</v>
      </c>
      <c r="E52">
        <v>7047531.8849999998</v>
      </c>
      <c r="F52">
        <f>SUM($D$52+$E$52)</f>
        <v>25035106.884999998</v>
      </c>
      <c r="G52">
        <v>24662120</v>
      </c>
      <c r="H52">
        <v>14015482.796</v>
      </c>
      <c r="I52">
        <f>SUM($G$52+$H$52)</f>
        <v>38677602.796000004</v>
      </c>
      <c r="J52">
        <v>37466065</v>
      </c>
      <c r="K52">
        <v>33625793.337499999</v>
      </c>
      <c r="L52">
        <f>SUM($J$52+$K$52)</f>
        <v>71091858.337500006</v>
      </c>
    </row>
    <row r="53" spans="2:12" x14ac:dyDescent="0.25">
      <c r="B53" s="2" t="s">
        <v>62</v>
      </c>
      <c r="C53" t="s">
        <v>61</v>
      </c>
      <c r="D53">
        <v>9221571</v>
      </c>
      <c r="E53">
        <v>2750794.6292999997</v>
      </c>
      <c r="F53">
        <f>SUM($D$53+$E$53)</f>
        <v>11972365.6293</v>
      </c>
      <c r="G53">
        <v>21994581</v>
      </c>
      <c r="H53">
        <v>10361647.109099999</v>
      </c>
      <c r="I53">
        <f>SUM($G$53+$H$53)</f>
        <v>32356228.109099999</v>
      </c>
      <c r="J53">
        <v>20183871</v>
      </c>
      <c r="K53">
        <v>16094618.735399999</v>
      </c>
      <c r="L53">
        <f>SUM($J$53+$K$53)</f>
        <v>36278489.735399999</v>
      </c>
    </row>
    <row r="54" spans="2:12" x14ac:dyDescent="0.25">
      <c r="B54" t="s">
        <v>103</v>
      </c>
      <c r="C54" t="s">
        <v>104</v>
      </c>
      <c r="D54">
        <v>1303390</v>
      </c>
      <c r="E54">
        <v>22548.647000000001</v>
      </c>
      <c r="F54">
        <f>SUM($D$54+$E$54)</f>
        <v>1325938.6470000001</v>
      </c>
      <c r="G54">
        <v>1306180</v>
      </c>
      <c r="H54">
        <v>22596.914000000001</v>
      </c>
      <c r="I54">
        <f>SUM($G$54+$H$54)</f>
        <v>1328776.9140000001</v>
      </c>
      <c r="J54">
        <v>1306180</v>
      </c>
      <c r="K54">
        <v>22596.914000000001</v>
      </c>
      <c r="L54">
        <f>SUM($J$54+$K$54)</f>
        <v>1328776.9140000001</v>
      </c>
    </row>
    <row r="55" spans="2:12" x14ac:dyDescent="0.25">
      <c r="B55" t="s">
        <v>167</v>
      </c>
      <c r="C55" t="s">
        <v>168</v>
      </c>
      <c r="D55">
        <v>44644000</v>
      </c>
      <c r="E55">
        <v>47626529.171199992</v>
      </c>
      <c r="F55">
        <f>SUM($D$55+$E$55)</f>
        <v>92270529.171199992</v>
      </c>
      <c r="G55">
        <v>49081696</v>
      </c>
      <c r="H55">
        <v>58466116.275200002</v>
      </c>
      <c r="I55">
        <f>SUM($G$55+$H$55)</f>
        <v>107547812.27520001</v>
      </c>
      <c r="J55">
        <v>46505356</v>
      </c>
      <c r="K55">
        <v>82137759.767200008</v>
      </c>
      <c r="L55">
        <f>SUM($J$55+$K$55)</f>
        <v>128643115.76720001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A2" sqref="A2"/>
    </sheetView>
  </sheetViews>
  <sheetFormatPr defaultRowHeight="15" x14ac:dyDescent="0.25"/>
  <cols>
    <col min="1" max="1" width="34.28515625" customWidth="1"/>
    <col min="2" max="2" width="33.85546875" customWidth="1"/>
  </cols>
  <sheetData>
    <row r="1" spans="1:2" ht="15.75" x14ac:dyDescent="0.25">
      <c r="A1" s="6" t="s">
        <v>162</v>
      </c>
      <c r="B1" s="6" t="s">
        <v>163</v>
      </c>
    </row>
    <row r="2" spans="1:2" ht="21" x14ac:dyDescent="0.35">
      <c r="A2" s="7" t="s">
        <v>166</v>
      </c>
      <c r="B2" s="8" t="s">
        <v>167</v>
      </c>
    </row>
    <row r="3" spans="1:2" ht="21" x14ac:dyDescent="0.35">
      <c r="A3" s="9"/>
      <c r="B3" s="10"/>
    </row>
    <row r="4" spans="1:2" ht="21" x14ac:dyDescent="0.35">
      <c r="A4" s="9"/>
      <c r="B4" s="10"/>
    </row>
    <row r="5" spans="1:2" ht="21" x14ac:dyDescent="0.35">
      <c r="A5" s="9"/>
      <c r="B5" s="11"/>
    </row>
    <row r="6" spans="1:2" ht="21" x14ac:dyDescent="0.35">
      <c r="A6" s="9"/>
      <c r="B6" s="11"/>
    </row>
    <row r="7" spans="1:2" ht="21" x14ac:dyDescent="0.35">
      <c r="A7" s="9"/>
      <c r="B7" s="10"/>
    </row>
    <row r="8" spans="1:2" ht="21" x14ac:dyDescent="0.35">
      <c r="A8" s="9"/>
      <c r="B8" s="11"/>
    </row>
    <row r="9" spans="1:2" ht="21" x14ac:dyDescent="0.35">
      <c r="A9" s="9"/>
      <c r="B9" s="11"/>
    </row>
    <row r="10" spans="1:2" ht="21" x14ac:dyDescent="0.35">
      <c r="A10" s="9"/>
      <c r="B10" s="10"/>
    </row>
    <row r="11" spans="1:2" ht="21" x14ac:dyDescent="0.35">
      <c r="A11" s="12"/>
      <c r="B11" s="13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A9" sqref="A9"/>
    </sheetView>
  </sheetViews>
  <sheetFormatPr defaultRowHeight="15" x14ac:dyDescent="0.25"/>
  <cols>
    <col min="1" max="1" width="41.140625" customWidth="1"/>
    <col min="2" max="2" width="29.28515625" customWidth="1"/>
  </cols>
  <sheetData>
    <row r="1" spans="1:21" ht="15.75" x14ac:dyDescent="0.25">
      <c r="A1" s="6" t="s">
        <v>164</v>
      </c>
      <c r="B1" s="6" t="s">
        <v>165</v>
      </c>
    </row>
    <row r="2" spans="1:21" ht="21" x14ac:dyDescent="0.35">
      <c r="A2" s="7" t="s">
        <v>14</v>
      </c>
      <c r="B2" s="14">
        <v>304800227.3585</v>
      </c>
      <c r="L2" s="4"/>
      <c r="O2" s="4"/>
      <c r="R2" s="4"/>
      <c r="U2" s="4"/>
    </row>
    <row r="3" spans="1:21" ht="21" x14ac:dyDescent="0.35">
      <c r="A3" s="9"/>
      <c r="B3" s="11"/>
    </row>
    <row r="4" spans="1:21" ht="21" x14ac:dyDescent="0.35">
      <c r="A4" s="9"/>
      <c r="B4" s="11"/>
    </row>
    <row r="5" spans="1:21" ht="21" x14ac:dyDescent="0.35">
      <c r="A5" s="9"/>
      <c r="B5" s="11"/>
    </row>
    <row r="6" spans="1:21" ht="21" x14ac:dyDescent="0.35">
      <c r="A6" s="9"/>
      <c r="B6" s="11"/>
    </row>
    <row r="7" spans="1:21" ht="21" x14ac:dyDescent="0.35">
      <c r="A7" s="9"/>
      <c r="B7" s="11"/>
    </row>
    <row r="8" spans="1:21" ht="21" x14ac:dyDescent="0.35">
      <c r="A8" s="9"/>
      <c r="B8" s="11"/>
    </row>
    <row r="9" spans="1:21" ht="21" x14ac:dyDescent="0.35">
      <c r="A9" s="9"/>
      <c r="B9" s="11"/>
    </row>
    <row r="10" spans="1:21" ht="21" x14ac:dyDescent="0.35">
      <c r="A10" s="9"/>
      <c r="B10" s="11"/>
    </row>
    <row r="11" spans="1:21" ht="21" x14ac:dyDescent="0.35">
      <c r="A11" s="12"/>
      <c r="B11" s="15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Planilha1</vt:lpstr>
      <vt:lpstr>Planilha2</vt:lpstr>
      <vt:lpstr>Planilha3</vt:lpstr>
      <vt:lpstr>FIND ID</vt:lpstr>
      <vt:lpstr>FIND POWER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2024-10-01T11:30:58Z</dcterms:modified>
</cp:coreProperties>
</file>