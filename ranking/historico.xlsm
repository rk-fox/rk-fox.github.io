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52470D15-01DE-4D7C-8FA8-93B54703B860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82" i="3" l="1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F81" i="3"/>
  <c r="F80" i="3"/>
  <c r="F79" i="3"/>
  <c r="AJ78" i="3"/>
  <c r="AG78" i="3"/>
  <c r="AD78" i="3"/>
  <c r="AA78" i="3"/>
  <c r="X78" i="3"/>
  <c r="U78" i="3"/>
  <c r="R78" i="3"/>
  <c r="O78" i="3"/>
  <c r="L78" i="3"/>
  <c r="I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F78" i="3"/>
  <c r="F77" i="3"/>
  <c r="F76" i="3"/>
  <c r="F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4" i="3"/>
  <c r="AD74" i="3"/>
  <c r="AA74" i="3"/>
  <c r="X74" i="3"/>
  <c r="U74" i="3"/>
  <c r="R74" i="3"/>
  <c r="O74" i="3"/>
  <c r="L74" i="3"/>
  <c r="I74" i="3"/>
  <c r="F74" i="3"/>
  <c r="AG73" i="3"/>
  <c r="AD73" i="3"/>
  <c r="AA73" i="3"/>
  <c r="X73" i="3"/>
  <c r="U73" i="3"/>
  <c r="R73" i="3"/>
  <c r="O73" i="3"/>
  <c r="L73" i="3"/>
  <c r="I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F73" i="3"/>
  <c r="F72" i="3"/>
  <c r="F71" i="3"/>
  <c r="F70" i="3"/>
  <c r="F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<sst xmlns="http://schemas.openxmlformats.org/spreadsheetml/2006/main" count="642" uniqueCount="284">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</sst>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81"/>
  <sheetViews>
    <sheetView tabSelected="1" topLeftCell="A47" zoomScaleNormal="100" workbookViewId="0">
      <selection activeCell="C77" sqref="C77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t="s">
        <v>255</v>
      </c>
      <c r="B6" t="s">
        <v>254</v>
      </c>
      <c r="C6">
        <v>8925643868.0445995</v>
      </c>
      <c r="D6">
        <v>5</v>
      </c>
      <c r="E6" t="s">
        <v>253</v>
      </c>
    </row>
    <row r="7" spans="1:5">
      <c r="A7" s="2" t="s">
        <v>95</v>
      </c>
      <c r="B7" t="s">
        <v>94</v>
      </c>
      <c r="C7" s="2">
        <v>8503651850.2209997</v>
      </c>
      <c r="D7">
        <v>6</v>
      </c>
      <c r="E7" t="s">
        <v>137</v>
      </c>
    </row>
    <row r="8" spans="1:5">
      <c r="A8" t="s">
        <v>283</v>
      </c>
      <c r="B8" t="s">
        <v>282</v>
      </c>
      <c r="C8">
        <v>7995481227.2181005</v>
      </c>
      <c r="D8">
        <v>7</v>
      </c>
      <c r="E8" t="s">
        <v>281</v>
      </c>
    </row>
    <row r="9" spans="1:5">
      <c r="A9" s="2" t="s">
        <v>175</v>
      </c>
      <c r="B9" t="s">
        <v>173</v>
      </c>
      <c r="C9">
        <v>7087124459.2911997</v>
      </c>
      <c r="D9">
        <v>8</v>
      </c>
      <c r="E9" t="s">
        <v>173</v>
      </c>
    </row>
    <row r="10" spans="1:5">
      <c r="A10" s="1" t="s">
        <v>1</v>
      </c>
      <c r="B10" t="s">
        <v>0</v>
      </c>
      <c r="C10" s="2">
        <v>6287569965.2470999</v>
      </c>
      <c r="D10">
        <v>9</v>
      </c>
      <c r="E10" t="s">
        <v>0</v>
      </c>
    </row>
    <row r="11" spans="1:5">
      <c r="A11" t="s">
        <v>122</v>
      </c>
      <c r="B11" t="s">
        <v>123</v>
      </c>
      <c r="C11">
        <v>6230391833.8835001</v>
      </c>
      <c r="D11">
        <v>10</v>
      </c>
      <c r="E11" t="s">
        <v>169</v>
      </c>
    </row>
    <row r="12" spans="1:5">
      <c r="A12" s="2" t="s">
        <v>48</v>
      </c>
      <c r="B12" s="2" t="s">
        <v>47</v>
      </c>
      <c r="C12" s="2">
        <v>5528949526.5594997</v>
      </c>
      <c r="D12">
        <v>11</v>
      </c>
      <c r="E12" t="s">
        <v>68</v>
      </c>
    </row>
    <row r="13" spans="1:5">
      <c r="A13" s="2" t="s">
        <v>50</v>
      </c>
      <c r="B13" t="s">
        <v>49</v>
      </c>
      <c r="C13" s="2">
        <v>5329065310.4294996</v>
      </c>
      <c r="D13">
        <v>12</v>
      </c>
      <c r="E13" t="s">
        <v>71</v>
      </c>
    </row>
    <row r="14" spans="1:5">
      <c r="A14" s="2" t="s">
        <v>44</v>
      </c>
      <c r="B14" t="s">
        <v>43</v>
      </c>
      <c r="C14" s="2">
        <v>4775342720.3330002</v>
      </c>
      <c r="D14">
        <v>13</v>
      </c>
      <c r="E14" t="s">
        <v>43</v>
      </c>
    </row>
    <row r="15" spans="1:5">
      <c r="A15" t="s">
        <v>280</v>
      </c>
      <c r="B15" t="s">
        <v>277</v>
      </c>
      <c r="C15">
        <v>4421577509.0444002</v>
      </c>
      <c r="D15">
        <v>14</v>
      </c>
      <c r="E15" t="s">
        <v>276</v>
      </c>
    </row>
    <row r="16" spans="1:5">
      <c r="A16" t="s">
        <v>242</v>
      </c>
      <c r="B16" t="s">
        <v>243</v>
      </c>
      <c r="C16">
        <v>4057370754.5047998</v>
      </c>
      <c r="D16">
        <v>15</v>
      </c>
      <c r="E16" t="s">
        <v>241</v>
      </c>
    </row>
    <row r="17" spans="1:5">
      <c r="A17" t="s">
        <v>236</v>
      </c>
      <c r="B17" t="s">
        <v>226</v>
      </c>
      <c r="C17">
        <v>3596645352.9226003</v>
      </c>
      <c r="D17">
        <v>16</v>
      </c>
      <c r="E17" t="s">
        <v>225</v>
      </c>
    </row>
    <row r="18" spans="1:5">
      <c r="A18" t="s">
        <v>141</v>
      </c>
      <c r="B18" t="s">
        <v>142</v>
      </c>
      <c r="C18">
        <v>3587600560.3558002</v>
      </c>
      <c r="D18">
        <v>17</v>
      </c>
      <c r="E18" t="s">
        <v>143</v>
      </c>
    </row>
    <row r="19" spans="1:5">
      <c r="A19" t="s">
        <v>131</v>
      </c>
      <c r="B19" t="s">
        <v>132</v>
      </c>
      <c r="C19">
        <v>3362976438.4943004</v>
      </c>
      <c r="D19">
        <v>18</v>
      </c>
      <c r="E19" t="s">
        <v>133</v>
      </c>
    </row>
    <row r="20" spans="1:5">
      <c r="A20" t="s">
        <v>154</v>
      </c>
      <c r="B20" t="s">
        <v>155</v>
      </c>
      <c r="C20">
        <v>3266253090.4288001</v>
      </c>
      <c r="D20">
        <v>19</v>
      </c>
      <c r="E20" t="s">
        <v>156</v>
      </c>
    </row>
    <row r="21" spans="1:5">
      <c r="A21" t="s">
        <v>107</v>
      </c>
      <c r="B21" t="s">
        <v>108</v>
      </c>
      <c r="C21">
        <v>3112975898.9035001</v>
      </c>
      <c r="D21">
        <v>20</v>
      </c>
      <c r="E21" t="s">
        <v>109</v>
      </c>
    </row>
    <row r="22" spans="1:5">
      <c r="A22" t="s">
        <v>6</v>
      </c>
      <c r="B22" t="s">
        <v>4</v>
      </c>
      <c r="C22" s="2">
        <v>3072351914.5858998</v>
      </c>
      <c r="D22">
        <v>21</v>
      </c>
      <c r="E22" t="s">
        <v>4</v>
      </c>
    </row>
    <row r="23" spans="1:5">
      <c r="A23" s="1" t="s">
        <v>171</v>
      </c>
      <c r="B23" t="s">
        <v>172</v>
      </c>
      <c r="C23">
        <v>2877095172.7603002</v>
      </c>
      <c r="D23">
        <v>22</v>
      </c>
      <c r="E23" t="s">
        <v>170</v>
      </c>
    </row>
    <row r="24" spans="1:5">
      <c r="A24" s="3" t="s">
        <v>90</v>
      </c>
      <c r="B24" t="s">
        <v>88</v>
      </c>
      <c r="C24" s="2">
        <v>2732689529.9464002</v>
      </c>
      <c r="D24">
        <v>23</v>
      </c>
      <c r="E24" t="s">
        <v>89</v>
      </c>
    </row>
    <row r="25" spans="1:5">
      <c r="A25" s="3" t="s">
        <v>228</v>
      </c>
      <c r="B25" t="s">
        <v>222</v>
      </c>
      <c r="C25" s="2">
        <v>2702772819.7628999</v>
      </c>
      <c r="D25">
        <v>24</v>
      </c>
      <c r="E25" t="s">
        <v>221</v>
      </c>
    </row>
    <row r="26" spans="1:5">
      <c r="A26" s="2" t="s">
        <v>29</v>
      </c>
      <c r="B26" t="s">
        <v>27</v>
      </c>
      <c r="C26" s="2">
        <v>2701682672.8340001</v>
      </c>
      <c r="D26">
        <v>25</v>
      </c>
      <c r="E26" t="s">
        <v>72</v>
      </c>
    </row>
    <row r="27" spans="1:5">
      <c r="A27" t="s">
        <v>113</v>
      </c>
      <c r="B27" t="s">
        <v>114</v>
      </c>
      <c r="C27">
        <v>2627796030.4057002</v>
      </c>
      <c r="D27">
        <v>26</v>
      </c>
      <c r="E27" t="s">
        <v>115</v>
      </c>
    </row>
    <row r="28" spans="1:5">
      <c r="A28" t="s">
        <v>235</v>
      </c>
      <c r="B28" t="s">
        <v>224</v>
      </c>
      <c r="C28">
        <v>2606890937.0400996</v>
      </c>
      <c r="D28">
        <v>27</v>
      </c>
      <c r="E28" t="s">
        <v>223</v>
      </c>
    </row>
    <row r="29" spans="1:5">
      <c r="A29" t="s">
        <v>138</v>
      </c>
      <c r="B29" t="s">
        <v>139</v>
      </c>
      <c r="C29">
        <v>2560782597.8657999</v>
      </c>
      <c r="D29">
        <v>28</v>
      </c>
      <c r="E29" t="s">
        <v>140</v>
      </c>
    </row>
    <row r="30" spans="1:5">
      <c r="A30" s="2" t="s">
        <v>229</v>
      </c>
      <c r="B30" t="s">
        <v>218</v>
      </c>
      <c r="C30" s="2">
        <v>2555090442.9794002</v>
      </c>
      <c r="D30">
        <v>29</v>
      </c>
      <c r="E30" t="s">
        <v>217</v>
      </c>
    </row>
    <row r="31" spans="1:5">
      <c r="A31" s="2" t="s">
        <v>60</v>
      </c>
      <c r="B31" t="s">
        <v>106</v>
      </c>
      <c r="C31" s="2">
        <v>2504418626.5585999</v>
      </c>
      <c r="D31">
        <v>30</v>
      </c>
      <c r="E31" t="s">
        <v>59</v>
      </c>
    </row>
    <row r="32" spans="1:5">
      <c r="A32" s="2" t="s">
        <v>52</v>
      </c>
      <c r="B32" s="2" t="s">
        <v>51</v>
      </c>
      <c r="C32" s="2">
        <v>2368227823.9503999</v>
      </c>
      <c r="D32">
        <v>31</v>
      </c>
      <c r="E32" t="s">
        <v>256</v>
      </c>
    </row>
    <row r="33" spans="1:5">
      <c r="A33" t="s">
        <v>134</v>
      </c>
      <c r="B33" t="s">
        <v>135</v>
      </c>
      <c r="C33">
        <v>1993048556.2706001</v>
      </c>
      <c r="D33">
        <v>32</v>
      </c>
      <c r="E33" t="s">
        <v>136</v>
      </c>
    </row>
    <row r="34" spans="1:5">
      <c r="A34" s="2" t="s">
        <v>93</v>
      </c>
      <c r="B34" t="s">
        <v>91</v>
      </c>
      <c r="C34" s="2">
        <v>1980625768.0632</v>
      </c>
      <c r="D34">
        <v>33</v>
      </c>
      <c r="E34" t="s">
        <v>92</v>
      </c>
    </row>
    <row r="35" spans="1:5">
      <c r="A35" s="2" t="s">
        <v>23</v>
      </c>
      <c r="B35" t="s">
        <v>18</v>
      </c>
      <c r="C35" s="2">
        <v>1876637915.7514</v>
      </c>
      <c r="D35">
        <v>34</v>
      </c>
      <c r="E35" t="s">
        <v>78</v>
      </c>
    </row>
    <row r="36" spans="1:5">
      <c r="A36" t="s">
        <v>270</v>
      </c>
      <c r="B36" t="s">
        <v>265</v>
      </c>
      <c r="C36">
        <v>1807610005.03</v>
      </c>
      <c r="D36">
        <v>35</v>
      </c>
      <c r="E36" t="s">
        <v>264</v>
      </c>
    </row>
    <row r="37" spans="1:5">
      <c r="A37" t="s">
        <v>125</v>
      </c>
      <c r="B37" t="s">
        <v>126</v>
      </c>
      <c r="C37">
        <v>1776182951.8903999</v>
      </c>
      <c r="D37">
        <v>36</v>
      </c>
      <c r="E37" t="s">
        <v>127</v>
      </c>
    </row>
    <row r="38" spans="1:5">
      <c r="A38" s="2" t="s">
        <v>40</v>
      </c>
      <c r="B38" t="s">
        <v>39</v>
      </c>
      <c r="C38" s="2">
        <v>1725634568.836</v>
      </c>
      <c r="D38">
        <v>37</v>
      </c>
      <c r="E38" t="s">
        <v>69</v>
      </c>
    </row>
    <row r="39" spans="1:5">
      <c r="A39" t="s">
        <v>147</v>
      </c>
      <c r="B39" t="s">
        <v>148</v>
      </c>
      <c r="C39">
        <v>1673290211.5378001</v>
      </c>
      <c r="D39">
        <v>38</v>
      </c>
      <c r="E39" t="s">
        <v>149</v>
      </c>
    </row>
    <row r="40" spans="1:5">
      <c r="A40" s="2" t="s">
        <v>64</v>
      </c>
      <c r="B40" t="s">
        <v>63</v>
      </c>
      <c r="C40" s="2">
        <v>1656740934.1712</v>
      </c>
      <c r="D40">
        <v>39</v>
      </c>
      <c r="E40" t="s">
        <v>76</v>
      </c>
    </row>
    <row r="41" spans="1:5">
      <c r="A41" t="s">
        <v>110</v>
      </c>
      <c r="B41" t="s">
        <v>111</v>
      </c>
      <c r="C41">
        <v>1530643567.1222999</v>
      </c>
      <c r="D41">
        <v>40</v>
      </c>
      <c r="E41" t="s">
        <v>112</v>
      </c>
    </row>
    <row r="42" spans="1:5">
      <c r="A42" t="s">
        <v>246</v>
      </c>
      <c r="B42" t="s">
        <v>245</v>
      </c>
      <c r="C42">
        <v>1433248046.4004002</v>
      </c>
      <c r="D42">
        <v>41</v>
      </c>
      <c r="E42" t="s">
        <v>244</v>
      </c>
    </row>
    <row r="43" spans="1:5">
      <c r="A43" s="2" t="s">
        <v>15</v>
      </c>
      <c r="B43" t="s">
        <v>11</v>
      </c>
      <c r="C43" s="2">
        <v>1381524611.072</v>
      </c>
      <c r="D43">
        <v>42</v>
      </c>
      <c r="E43" t="s">
        <v>79</v>
      </c>
    </row>
    <row r="44" spans="1:5">
      <c r="A44" t="s">
        <v>167</v>
      </c>
      <c r="B44" t="s">
        <v>168</v>
      </c>
      <c r="C44">
        <v>1361928070.4875</v>
      </c>
      <c r="D44">
        <v>43</v>
      </c>
      <c r="E44" t="s">
        <v>166</v>
      </c>
    </row>
    <row r="45" spans="1:5">
      <c r="A45" t="s">
        <v>144</v>
      </c>
      <c r="B45" t="s">
        <v>150</v>
      </c>
      <c r="C45">
        <v>1353528872.0985</v>
      </c>
      <c r="D45">
        <v>44</v>
      </c>
      <c r="E45" t="s">
        <v>146</v>
      </c>
    </row>
    <row r="46" spans="1:5">
      <c r="A46" t="s">
        <v>97</v>
      </c>
      <c r="B46" t="s">
        <v>98</v>
      </c>
      <c r="C46">
        <v>1325678176.596</v>
      </c>
      <c r="D46">
        <v>45</v>
      </c>
      <c r="E46" t="s">
        <v>99</v>
      </c>
    </row>
    <row r="47" spans="1:5">
      <c r="A47" t="s">
        <v>239</v>
      </c>
      <c r="B47" t="s">
        <v>238</v>
      </c>
      <c r="C47">
        <v>1224930735.1176</v>
      </c>
      <c r="D47">
        <v>46</v>
      </c>
      <c r="E47" t="s">
        <v>237</v>
      </c>
    </row>
    <row r="48" spans="1:5">
      <c r="A48" s="2" t="s">
        <v>28</v>
      </c>
      <c r="B48" t="s">
        <v>26</v>
      </c>
      <c r="C48" s="2">
        <v>1165812766.0258</v>
      </c>
      <c r="D48">
        <v>47</v>
      </c>
      <c r="E48" t="s">
        <v>70</v>
      </c>
    </row>
    <row r="49" spans="1:5">
      <c r="A49" t="s">
        <v>116</v>
      </c>
      <c r="B49" t="s">
        <v>117</v>
      </c>
      <c r="C49">
        <v>1067166858.3022001</v>
      </c>
      <c r="D49">
        <v>48</v>
      </c>
      <c r="E49" t="s">
        <v>118</v>
      </c>
    </row>
    <row r="50" spans="1:5">
      <c r="A50" t="s">
        <v>249</v>
      </c>
      <c r="B50" t="s">
        <v>247</v>
      </c>
      <c r="C50">
        <v>973732739.51800001</v>
      </c>
      <c r="D50">
        <v>49</v>
      </c>
      <c r="E50" t="s">
        <v>248</v>
      </c>
    </row>
    <row r="51" spans="1:5">
      <c r="A51" t="s">
        <v>234</v>
      </c>
      <c r="B51" t="s">
        <v>220</v>
      </c>
      <c r="C51">
        <v>950009792.66779995</v>
      </c>
      <c r="D51">
        <v>50</v>
      </c>
      <c r="E51" t="s">
        <v>219</v>
      </c>
    </row>
    <row r="52" spans="1:5">
      <c r="A52" t="s">
        <v>214</v>
      </c>
      <c r="B52" t="s">
        <v>213</v>
      </c>
      <c r="C52">
        <v>947791037.92289996</v>
      </c>
      <c r="D52">
        <v>51</v>
      </c>
      <c r="E52" t="s">
        <v>212</v>
      </c>
    </row>
    <row r="53" spans="1:5">
      <c r="A53" t="s">
        <v>252</v>
      </c>
      <c r="B53" t="s">
        <v>251</v>
      </c>
      <c r="C53">
        <v>918570355.00319993</v>
      </c>
      <c r="D53">
        <v>52</v>
      </c>
      <c r="E53" t="s">
        <v>250</v>
      </c>
    </row>
    <row r="54" spans="1:5">
      <c r="A54" t="s">
        <v>58</v>
      </c>
      <c r="B54" s="2" t="s">
        <v>57</v>
      </c>
      <c r="C54" s="2">
        <v>798277420.14039993</v>
      </c>
      <c r="D54">
        <v>53</v>
      </c>
      <c r="E54" t="s">
        <v>202</v>
      </c>
    </row>
    <row r="55" spans="1:5">
      <c r="A55" t="s">
        <v>208</v>
      </c>
      <c r="B55" t="s">
        <v>207</v>
      </c>
      <c r="C55">
        <v>764489569.79200006</v>
      </c>
      <c r="D55">
        <v>54</v>
      </c>
      <c r="E55" t="s">
        <v>206</v>
      </c>
    </row>
    <row r="56" spans="1:5">
      <c r="A56" t="s">
        <v>119</v>
      </c>
      <c r="B56" t="s">
        <v>120</v>
      </c>
      <c r="C56">
        <v>736638888.07299995</v>
      </c>
      <c r="D56">
        <v>55</v>
      </c>
      <c r="E56" t="s">
        <v>230</v>
      </c>
    </row>
    <row r="57" spans="1:5">
      <c r="A57" t="s">
        <v>100</v>
      </c>
      <c r="B57" t="s">
        <v>101</v>
      </c>
      <c r="C57">
        <v>709732346.70299995</v>
      </c>
      <c r="D57">
        <v>56</v>
      </c>
      <c r="E57" t="s">
        <v>102</v>
      </c>
    </row>
    <row r="58" spans="1:5">
      <c r="A58" t="s">
        <v>233</v>
      </c>
      <c r="B58" t="s">
        <v>216</v>
      </c>
      <c r="C58">
        <v>683973251.22599995</v>
      </c>
      <c r="D58">
        <v>57</v>
      </c>
      <c r="E58" t="s">
        <v>215</v>
      </c>
    </row>
    <row r="59" spans="1:5">
      <c r="A59" t="s">
        <v>231</v>
      </c>
      <c r="B59" t="s">
        <v>227</v>
      </c>
      <c r="C59">
        <v>639587122.20200002</v>
      </c>
      <c r="D59">
        <v>58</v>
      </c>
      <c r="E59" t="s">
        <v>232</v>
      </c>
    </row>
    <row r="60" spans="1:5">
      <c r="A60" s="2" t="s">
        <v>37</v>
      </c>
      <c r="B60" t="s">
        <v>38</v>
      </c>
      <c r="C60" s="2">
        <v>606032268.85399997</v>
      </c>
      <c r="D60">
        <v>59</v>
      </c>
      <c r="E60" t="s">
        <v>75</v>
      </c>
    </row>
    <row r="61" spans="1:5">
      <c r="A61" s="2" t="s">
        <v>14</v>
      </c>
      <c r="B61" t="s">
        <v>12</v>
      </c>
      <c r="C61" s="2">
        <v>573781963.81599998</v>
      </c>
      <c r="D61">
        <v>60</v>
      </c>
      <c r="E61" t="s">
        <v>73</v>
      </c>
    </row>
    <row r="62" spans="1:5">
      <c r="A62" s="2" t="s">
        <v>16</v>
      </c>
      <c r="B62" t="s">
        <v>13</v>
      </c>
      <c r="C62" s="2">
        <v>553597948.84200001</v>
      </c>
      <c r="D62">
        <v>61</v>
      </c>
      <c r="E62" t="s">
        <v>81</v>
      </c>
    </row>
    <row r="63" spans="1:5">
      <c r="A63" s="2" t="s">
        <v>36</v>
      </c>
      <c r="B63" t="s">
        <v>35</v>
      </c>
      <c r="C63" s="2">
        <v>530710459.26679999</v>
      </c>
      <c r="D63">
        <v>62</v>
      </c>
      <c r="E63" t="s">
        <v>87</v>
      </c>
    </row>
    <row r="64" spans="1:5">
      <c r="A64" t="s">
        <v>151</v>
      </c>
      <c r="B64" t="s">
        <v>145</v>
      </c>
      <c r="C64">
        <v>530091782.86059999</v>
      </c>
      <c r="D64">
        <v>63</v>
      </c>
      <c r="E64" t="s">
        <v>152</v>
      </c>
    </row>
    <row r="65" spans="1:5">
      <c r="A65" t="s">
        <v>278</v>
      </c>
      <c r="B65" t="s">
        <v>272</v>
      </c>
      <c r="C65">
        <v>528551073.98879999</v>
      </c>
      <c r="D65">
        <v>64</v>
      </c>
      <c r="E65" t="s">
        <v>273</v>
      </c>
    </row>
    <row r="66" spans="1:5">
      <c r="A66" s="2" t="s">
        <v>22</v>
      </c>
      <c r="B66" t="s">
        <v>17</v>
      </c>
      <c r="C66" s="2">
        <v>461012591.167</v>
      </c>
      <c r="D66">
        <v>65</v>
      </c>
      <c r="E66" t="s">
        <v>82</v>
      </c>
    </row>
    <row r="67" spans="1:5">
      <c r="A67" t="s">
        <v>197</v>
      </c>
      <c r="B67" t="s">
        <v>198</v>
      </c>
      <c r="C67">
        <v>406944022.04479998</v>
      </c>
      <c r="D67">
        <v>66</v>
      </c>
      <c r="E67" t="s">
        <v>240</v>
      </c>
    </row>
    <row r="68" spans="1:5">
      <c r="A68" t="s">
        <v>269</v>
      </c>
      <c r="B68" t="s">
        <v>263</v>
      </c>
      <c r="C68">
        <v>389707836.1239</v>
      </c>
      <c r="D68">
        <v>67</v>
      </c>
      <c r="E68" t="s">
        <v>262</v>
      </c>
    </row>
    <row r="69" spans="1:5">
      <c r="A69" s="2" t="s">
        <v>21</v>
      </c>
      <c r="B69" t="s">
        <v>19</v>
      </c>
      <c r="C69" s="2">
        <v>356584720.3696</v>
      </c>
      <c r="D69">
        <v>68</v>
      </c>
      <c r="E69" t="s">
        <v>84</v>
      </c>
    </row>
    <row r="70" spans="1:5">
      <c r="A70" s="2" t="s">
        <v>41</v>
      </c>
      <c r="B70" s="2" t="s">
        <v>42</v>
      </c>
      <c r="C70" s="2">
        <v>325181328.55540001</v>
      </c>
      <c r="D70">
        <v>69</v>
      </c>
      <c r="E70" t="s">
        <v>77</v>
      </c>
    </row>
    <row r="71" spans="1:5">
      <c r="A71" t="s">
        <v>268</v>
      </c>
      <c r="B71" t="s">
        <v>261</v>
      </c>
      <c r="C71">
        <v>310554980.204</v>
      </c>
      <c r="D71">
        <v>70</v>
      </c>
      <c r="E71" t="s">
        <v>260</v>
      </c>
    </row>
    <row r="72" spans="1:5">
      <c r="A72" s="2" t="s">
        <v>62</v>
      </c>
      <c r="B72" t="s">
        <v>61</v>
      </c>
      <c r="C72" s="2">
        <v>294832398.73720002</v>
      </c>
      <c r="D72">
        <v>71</v>
      </c>
      <c r="E72" t="s">
        <v>153</v>
      </c>
    </row>
    <row r="73" spans="1:5">
      <c r="A73" t="s">
        <v>271</v>
      </c>
      <c r="B73" t="s">
        <v>267</v>
      </c>
      <c r="C73">
        <v>231163872.51430002</v>
      </c>
      <c r="D73">
        <v>72</v>
      </c>
      <c r="E73" t="s">
        <v>266</v>
      </c>
    </row>
    <row r="74" spans="1:5">
      <c r="A74" t="s">
        <v>211</v>
      </c>
      <c r="B74" t="s">
        <v>210</v>
      </c>
      <c r="C74">
        <v>202639568.52450001</v>
      </c>
      <c r="D74">
        <v>73</v>
      </c>
      <c r="E74" t="s">
        <v>209</v>
      </c>
    </row>
    <row r="75" spans="1:5">
      <c r="A75" t="s">
        <v>205</v>
      </c>
      <c r="B75" t="s">
        <v>204</v>
      </c>
      <c r="C75">
        <v>184672924.088</v>
      </c>
      <c r="D75">
        <v>74</v>
      </c>
      <c r="E75" t="s">
        <v>203</v>
      </c>
    </row>
    <row r="76" spans="1:5">
      <c r="A76" t="s">
        <v>128</v>
      </c>
      <c r="B76" t="s">
        <v>129</v>
      </c>
      <c r="C76">
        <v>138194550.896</v>
      </c>
      <c r="D76">
        <v>75</v>
      </c>
      <c r="E76" t="s">
        <v>130</v>
      </c>
    </row>
    <row r="77" spans="1:5">
      <c r="A77" s="2" t="s">
        <v>54</v>
      </c>
      <c r="B77" t="s">
        <v>53</v>
      </c>
      <c r="C77" s="2">
        <v>132398674.263</v>
      </c>
      <c r="D77">
        <v>76</v>
      </c>
      <c r="E77" t="s">
        <v>86</v>
      </c>
    </row>
    <row r="78" spans="1:5">
      <c r="A78" s="2" t="s">
        <v>30</v>
      </c>
      <c r="B78" t="s">
        <v>25</v>
      </c>
      <c r="C78" s="2">
        <v>126761734.88150001</v>
      </c>
      <c r="D78">
        <v>77</v>
      </c>
      <c r="E78" t="s">
        <v>80</v>
      </c>
    </row>
    <row r="79" spans="1:5">
      <c r="A79" t="s">
        <v>279</v>
      </c>
      <c r="B79" t="s">
        <v>275</v>
      </c>
      <c r="C79">
        <v>91826701.681799993</v>
      </c>
      <c r="D79">
        <v>78</v>
      </c>
      <c r="E79" t="s">
        <v>274</v>
      </c>
    </row>
    <row r="80" spans="1:5">
      <c r="A80" s="2" t="s">
        <v>259</v>
      </c>
      <c r="B80" t="s">
        <v>257</v>
      </c>
      <c r="C80">
        <v>71377292.489999995</v>
      </c>
      <c r="D80">
        <v>79</v>
      </c>
      <c r="E80" t="s">
        <v>258</v>
      </c>
    </row>
    <row r="81" spans="1:5">
      <c r="A81" t="s">
        <v>56</v>
      </c>
      <c r="B81" t="s">
        <v>55</v>
      </c>
      <c r="C81" s="2">
        <v>52091879.267999999</v>
      </c>
      <c r="D81">
        <v>80</v>
      </c>
      <c r="E81" t="s">
        <v>85</v>
      </c>
    </row>
  </sheetData>
  <autoFilter ref="A1:E1" xr:uid="{F35CEFC1-B3C5-47E8-B313-C5CF74631A2D}">
    <sortState xmlns:xlrd2="http://schemas.microsoft.com/office/spreadsheetml/2017/richdata2" ref="A2:E81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K117"/>
  <sheetViews>
    <sheetView zoomScale="40" zoomScaleNormal="40" workbookViewId="0">
      <selection activeCell="AD87" sqref="AD87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3.85546875" bestFit="1" customWidth="1"/>
  </cols>
  <sheetData>
    <row r="1" spans="1:37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/>
    </row>
    <row r="2" spans="1:37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  <c r="AH2" t="s">
        <v>157</v>
      </c>
      <c r="AI2" t="s">
        <v>160</v>
      </c>
      <c r="AJ2" t="s">
        <v>161</v>
      </c>
    </row>
    <row r="3" spans="1:37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</row>
    <row r="4" spans="1:37">
      <c r="B4" t="s">
        <v>56</v>
      </c>
      <c r="C4" t="s">
        <v>55</v>
      </c>
      <c r="D4">
        <v>18010345</v>
      </c>
      <c r="E4">
        <v>9482446.6425000001</v>
      </c>
      <c r="F4">
        <f t="shared" ref="F4:F67" si="0">SUM(D4+E4)</f>
        <v>27492791.642499998</v>
      </c>
      <c r="G4">
        <v>18010345</v>
      </c>
      <c r="H4">
        <v>9482446.6425000001</v>
      </c>
      <c r="I4">
        <f t="shared" ref="I4:I67" si="1">SUM(G4+H4)</f>
        <v>27492791.642499998</v>
      </c>
      <c r="J4">
        <v>17876245</v>
      </c>
      <c r="K4">
        <v>10575586.541999999</v>
      </c>
      <c r="L4">
        <f t="shared" ref="L4:L67" si="2">SUM(J4+K4)</f>
        <v>28451831.541999999</v>
      </c>
      <c r="M4">
        <v>17876245</v>
      </c>
      <c r="N4">
        <v>10575586.541999999</v>
      </c>
      <c r="O4">
        <f t="shared" ref="O4:O67" si="3">SUM(M4+N4)</f>
        <v>28451831.541999999</v>
      </c>
      <c r="P4">
        <v>17941810</v>
      </c>
      <c r="Q4">
        <v>10614374.796</v>
      </c>
      <c r="R4">
        <f t="shared" ref="R4:R67" si="4">SUM(P4+Q4)</f>
        <v>28556184.796</v>
      </c>
      <c r="S4">
        <v>21216385</v>
      </c>
      <c r="T4">
        <v>16644254.032500001</v>
      </c>
      <c r="U4">
        <f t="shared" ref="U4:U67" si="5">SUM(S4+T4)</f>
        <v>37860639.032499999</v>
      </c>
      <c r="V4">
        <v>27084435</v>
      </c>
      <c r="W4">
        <v>24722672.267999999</v>
      </c>
      <c r="X4">
        <f t="shared" ref="X4:X67" si="6">SUM(V4+W4)</f>
        <v>51807107.267999999</v>
      </c>
      <c r="Y4">
        <v>27084435</v>
      </c>
      <c r="Z4">
        <v>24722672.267999999</v>
      </c>
      <c r="AA4">
        <f t="shared" ref="AA4:AA67" si="7">SUM(Y4+Z4)</f>
        <v>51807107.267999999</v>
      </c>
      <c r="AB4">
        <v>27084435</v>
      </c>
      <c r="AC4">
        <v>24722672.267999999</v>
      </c>
      <c r="AD4">
        <f t="shared" ref="AD4:AD67" si="8">SUM(AB4+AC4)</f>
        <v>51807107.267999999</v>
      </c>
      <c r="AE4">
        <v>27084435</v>
      </c>
      <c r="AF4">
        <v>24722672.267999999</v>
      </c>
      <c r="AG4">
        <f t="shared" ref="AG4:AG67" si="9">SUM(AE4+AF4)</f>
        <v>51807107.267999999</v>
      </c>
      <c r="AH4">
        <v>27084435</v>
      </c>
      <c r="AI4">
        <v>24722672.267999999</v>
      </c>
      <c r="AJ4">
        <f>SUM($AH$4+$AI$4)</f>
        <v>51807107.267999999</v>
      </c>
    </row>
    <row r="5" spans="1:37">
      <c r="B5" t="s">
        <v>175</v>
      </c>
      <c r="C5" t="s">
        <v>174</v>
      </c>
      <c r="D5">
        <v>558794398</v>
      </c>
      <c r="E5">
        <v>4626761736.0002003</v>
      </c>
      <c r="F5">
        <f t="shared" si="0"/>
        <v>5185556134.0002003</v>
      </c>
      <c r="G5">
        <v>558794398</v>
      </c>
      <c r="H5">
        <v>4626761736.0002003</v>
      </c>
      <c r="I5">
        <f t="shared" si="1"/>
        <v>5185556134.0002003</v>
      </c>
      <c r="J5">
        <v>558794398</v>
      </c>
      <c r="K5">
        <v>4626761736.0002003</v>
      </c>
      <c r="L5">
        <f t="shared" si="2"/>
        <v>5185556134.0002003</v>
      </c>
      <c r="M5">
        <v>558794398</v>
      </c>
      <c r="N5">
        <v>4626761736.0002003</v>
      </c>
      <c r="O5">
        <f t="shared" si="3"/>
        <v>5185556134.0002003</v>
      </c>
      <c r="P5">
        <v>558794398</v>
      </c>
      <c r="Q5">
        <v>4626761736.0002003</v>
      </c>
      <c r="R5">
        <f t="shared" si="4"/>
        <v>5185556134.0002003</v>
      </c>
      <c r="S5">
        <v>558794398</v>
      </c>
      <c r="T5">
        <v>4626761736.0002003</v>
      </c>
      <c r="U5">
        <f t="shared" si="5"/>
        <v>5185556134.0002003</v>
      </c>
      <c r="V5">
        <v>558794398</v>
      </c>
      <c r="W5">
        <v>4626761736.0002003</v>
      </c>
      <c r="X5">
        <f t="shared" si="6"/>
        <v>5185556134.0002003</v>
      </c>
      <c r="Y5">
        <v>558794398</v>
      </c>
      <c r="Z5">
        <v>4626761736.0002003</v>
      </c>
      <c r="AA5">
        <f t="shared" si="7"/>
        <v>5185556134.0002003</v>
      </c>
      <c r="AB5">
        <v>730458718</v>
      </c>
      <c r="AC5">
        <v>6339212938.2912006</v>
      </c>
      <c r="AD5">
        <f t="shared" si="8"/>
        <v>7069671656.2912006</v>
      </c>
      <c r="AE5">
        <v>913844624</v>
      </c>
      <c r="AF5">
        <v>8463297831.7888002</v>
      </c>
      <c r="AG5">
        <f t="shared" si="9"/>
        <v>9377142455.7887993</v>
      </c>
      <c r="AH5">
        <v>1013005872</v>
      </c>
      <c r="AI5">
        <v>9864651181.5359993</v>
      </c>
      <c r="AJ5">
        <f>SUM($AH$5+$AI$5)</f>
        <v>10877657053.535999</v>
      </c>
    </row>
    <row r="6" spans="1:37">
      <c r="B6" s="2" t="s">
        <v>46</v>
      </c>
      <c r="C6" t="s">
        <v>45</v>
      </c>
      <c r="D6">
        <v>417958832</v>
      </c>
      <c r="E6">
        <v>2782895291.1056004</v>
      </c>
      <c r="F6">
        <f t="shared" si="0"/>
        <v>3200854123.1056004</v>
      </c>
      <c r="G6">
        <v>458014303</v>
      </c>
      <c r="H6">
        <v>3262435880.2689996</v>
      </c>
      <c r="I6">
        <f t="shared" si="1"/>
        <v>3720450183.2689996</v>
      </c>
      <c r="J6">
        <v>515408617</v>
      </c>
      <c r="K6">
        <v>3912312189.0619001</v>
      </c>
      <c r="L6">
        <f t="shared" si="2"/>
        <v>4427720806.0619001</v>
      </c>
      <c r="M6">
        <v>537849062</v>
      </c>
      <c r="N6">
        <v>4176182826.8052001</v>
      </c>
      <c r="O6">
        <f t="shared" si="3"/>
        <v>4714031888.8052006</v>
      </c>
      <c r="P6">
        <v>603976187</v>
      </c>
      <c r="Q6">
        <v>4941793559.6527004</v>
      </c>
      <c r="R6">
        <f t="shared" si="4"/>
        <v>5545769746.6527004</v>
      </c>
      <c r="S6">
        <v>740902292</v>
      </c>
      <c r="T6">
        <v>6860755223.9200001</v>
      </c>
      <c r="U6">
        <f t="shared" si="5"/>
        <v>7601657515.9200001</v>
      </c>
      <c r="V6">
        <v>879245376</v>
      </c>
      <c r="W6">
        <v>8650016009.0879993</v>
      </c>
      <c r="X6">
        <f t="shared" si="6"/>
        <v>9529261385.0879993</v>
      </c>
      <c r="Y6">
        <v>984698489</v>
      </c>
      <c r="Z6">
        <v>9923495962.5953007</v>
      </c>
      <c r="AA6">
        <f t="shared" si="7"/>
        <v>10908194451.595301</v>
      </c>
      <c r="AB6">
        <v>1082665544</v>
      </c>
      <c r="AC6">
        <v>11117351138.563999</v>
      </c>
      <c r="AD6">
        <f t="shared" si="8"/>
        <v>12200016682.563999</v>
      </c>
      <c r="AE6">
        <v>1261081255</v>
      </c>
      <c r="AF6">
        <v>13669868587.948999</v>
      </c>
      <c r="AG6">
        <f t="shared" si="9"/>
        <v>14930949842.948999</v>
      </c>
      <c r="AH6">
        <v>1341993540</v>
      </c>
      <c r="AI6">
        <v>14944976858.856001</v>
      </c>
      <c r="AJ6">
        <f>SUM($AH$6+$AI$6)</f>
        <v>16286970398.856001</v>
      </c>
    </row>
    <row r="7" spans="1:37">
      <c r="B7" t="s">
        <v>97</v>
      </c>
      <c r="C7" t="s">
        <v>98</v>
      </c>
      <c r="D7">
        <v>157727650</v>
      </c>
      <c r="E7">
        <v>435202131.88000005</v>
      </c>
      <c r="F7">
        <f t="shared" si="0"/>
        <v>592929781.88000011</v>
      </c>
      <c r="G7">
        <v>161025055</v>
      </c>
      <c r="H7">
        <v>468228654.92899996</v>
      </c>
      <c r="I7">
        <f t="shared" si="1"/>
        <v>629253709.9289999</v>
      </c>
      <c r="J7">
        <v>146539730</v>
      </c>
      <c r="K7">
        <v>465380874.53399998</v>
      </c>
      <c r="L7">
        <f t="shared" si="2"/>
        <v>611920604.53399992</v>
      </c>
      <c r="M7">
        <v>147678420</v>
      </c>
      <c r="N7">
        <v>473146889.838</v>
      </c>
      <c r="O7">
        <f t="shared" si="3"/>
        <v>620825309.83800006</v>
      </c>
      <c r="P7">
        <v>158720085</v>
      </c>
      <c r="Q7">
        <v>559091499.41250002</v>
      </c>
      <c r="R7">
        <f t="shared" si="4"/>
        <v>717811584.41250002</v>
      </c>
      <c r="S7">
        <v>183364435</v>
      </c>
      <c r="T7">
        <v>724436209.79799998</v>
      </c>
      <c r="U7">
        <f t="shared" si="5"/>
        <v>907800644.79799998</v>
      </c>
      <c r="V7">
        <v>204120176</v>
      </c>
      <c r="W7">
        <v>841852841.87680006</v>
      </c>
      <c r="X7">
        <f t="shared" si="6"/>
        <v>1045973017.8768001</v>
      </c>
      <c r="Y7">
        <v>233956519</v>
      </c>
      <c r="Z7">
        <v>1005404744.7506</v>
      </c>
      <c r="AA7">
        <f t="shared" si="7"/>
        <v>1239361263.7505999</v>
      </c>
      <c r="AB7">
        <v>244925674</v>
      </c>
      <c r="AC7">
        <v>1066406384.596</v>
      </c>
      <c r="AD7">
        <f t="shared" si="8"/>
        <v>1311332058.596</v>
      </c>
      <c r="AE7">
        <v>282014054</v>
      </c>
      <c r="AF7">
        <v>1322702316.0708001</v>
      </c>
      <c r="AG7">
        <f t="shared" si="9"/>
        <v>1604716370.0708001</v>
      </c>
      <c r="AH7">
        <v>289845153</v>
      </c>
      <c r="AI7">
        <v>1473833618.4897001</v>
      </c>
      <c r="AJ7">
        <f>SUM($AH$7+$AI$7)</f>
        <v>1763678771.4897001</v>
      </c>
    </row>
    <row r="8" spans="1:37">
      <c r="B8" t="s">
        <v>167</v>
      </c>
      <c r="C8" t="s">
        <v>168</v>
      </c>
      <c r="D8">
        <v>44644000</v>
      </c>
      <c r="E8">
        <v>47626529.171199992</v>
      </c>
      <c r="F8">
        <f t="shared" si="0"/>
        <v>92270529.171199992</v>
      </c>
      <c r="G8">
        <v>49081696</v>
      </c>
      <c r="H8">
        <v>58466116.275200002</v>
      </c>
      <c r="I8">
        <f t="shared" si="1"/>
        <v>107547812.27520001</v>
      </c>
      <c r="J8">
        <v>46505356</v>
      </c>
      <c r="K8">
        <v>82137759.767200008</v>
      </c>
      <c r="L8">
        <f t="shared" si="2"/>
        <v>128643115.76720001</v>
      </c>
      <c r="M8">
        <v>55580356</v>
      </c>
      <c r="N8">
        <v>102612453.2472</v>
      </c>
      <c r="O8">
        <f t="shared" si="3"/>
        <v>158192809.24720001</v>
      </c>
      <c r="P8">
        <v>80657156</v>
      </c>
      <c r="Q8">
        <v>170928644.99519998</v>
      </c>
      <c r="R8">
        <f t="shared" si="4"/>
        <v>251585800.99519998</v>
      </c>
      <c r="S8">
        <v>117231051</v>
      </c>
      <c r="T8">
        <v>318153349.3089</v>
      </c>
      <c r="U8">
        <f t="shared" si="5"/>
        <v>435384400.3089</v>
      </c>
      <c r="V8">
        <v>137147746</v>
      </c>
      <c r="W8">
        <v>403008651.62100005</v>
      </c>
      <c r="X8">
        <f t="shared" si="6"/>
        <v>540156397.62100005</v>
      </c>
      <c r="Y8">
        <v>210705186</v>
      </c>
      <c r="Z8">
        <v>735993214.69800007</v>
      </c>
      <c r="AA8">
        <f t="shared" si="7"/>
        <v>946698400.69800007</v>
      </c>
      <c r="AB8">
        <v>280430335</v>
      </c>
      <c r="AC8">
        <v>1063532045.4875</v>
      </c>
      <c r="AD8">
        <f t="shared" si="8"/>
        <v>1343962380.4875</v>
      </c>
      <c r="AE8">
        <v>320333561</v>
      </c>
      <c r="AF8">
        <v>1331978979.9941001</v>
      </c>
      <c r="AG8">
        <f t="shared" si="9"/>
        <v>1652312540.9941001</v>
      </c>
      <c r="AH8">
        <v>365218100</v>
      </c>
      <c r="AI8">
        <v>1723938997.4299998</v>
      </c>
      <c r="AJ8">
        <f>SUM($AH$8+$AI$8)</f>
        <v>2089157097.4299998</v>
      </c>
    </row>
    <row r="9" spans="1:37">
      <c r="B9" t="s">
        <v>131</v>
      </c>
      <c r="C9" t="s">
        <v>132</v>
      </c>
      <c r="D9">
        <v>149001966</v>
      </c>
      <c r="E9">
        <v>514622990.17079997</v>
      </c>
      <c r="F9">
        <f t="shared" si="0"/>
        <v>663624956.17079997</v>
      </c>
      <c r="G9">
        <v>165844676</v>
      </c>
      <c r="H9">
        <v>623642319.63040006</v>
      </c>
      <c r="I9">
        <f t="shared" si="1"/>
        <v>789486995.63040006</v>
      </c>
      <c r="J9">
        <v>179263645</v>
      </c>
      <c r="K9">
        <v>756958667.37699997</v>
      </c>
      <c r="L9">
        <f t="shared" si="2"/>
        <v>936222312.37699997</v>
      </c>
      <c r="M9">
        <v>179736040</v>
      </c>
      <c r="N9">
        <v>758863534.48399997</v>
      </c>
      <c r="O9">
        <f t="shared" si="3"/>
        <v>938599574.48399997</v>
      </c>
      <c r="P9">
        <v>203008320</v>
      </c>
      <c r="Q9">
        <v>871575620.25599992</v>
      </c>
      <c r="R9">
        <f t="shared" si="4"/>
        <v>1074583940.256</v>
      </c>
      <c r="S9">
        <v>252721000</v>
      </c>
      <c r="T9">
        <v>1274699451.8999999</v>
      </c>
      <c r="U9">
        <f t="shared" si="5"/>
        <v>1527420451.8999999</v>
      </c>
      <c r="V9">
        <v>311095485</v>
      </c>
      <c r="W9">
        <v>1623856212.6030002</v>
      </c>
      <c r="X9">
        <f t="shared" si="6"/>
        <v>1934951697.6030002</v>
      </c>
      <c r="Y9">
        <v>401468375</v>
      </c>
      <c r="Z9">
        <v>2207433713.0999999</v>
      </c>
      <c r="AA9">
        <f t="shared" si="7"/>
        <v>2608902088.0999999</v>
      </c>
      <c r="AB9">
        <v>496175343</v>
      </c>
      <c r="AC9">
        <v>2838172579.4942999</v>
      </c>
      <c r="AD9">
        <f t="shared" si="8"/>
        <v>3334347922.4942999</v>
      </c>
      <c r="AE9">
        <v>577869419</v>
      </c>
      <c r="AF9">
        <v>3568170301.4993</v>
      </c>
      <c r="AG9">
        <f t="shared" si="9"/>
        <v>4146039720.4993</v>
      </c>
      <c r="AH9">
        <v>607366679</v>
      </c>
      <c r="AI9">
        <v>3773629913.2948995</v>
      </c>
      <c r="AJ9">
        <f>SUM($AH$9+$AI$9)</f>
        <v>4380996592.294899</v>
      </c>
    </row>
    <row r="10" spans="1:37">
      <c r="B10" t="s">
        <v>141</v>
      </c>
      <c r="C10" t="s">
        <v>142</v>
      </c>
      <c r="D10">
        <v>256781218</v>
      </c>
      <c r="E10">
        <v>998545122.43659997</v>
      </c>
      <c r="F10">
        <f t="shared" si="0"/>
        <v>1255326340.4366</v>
      </c>
      <c r="G10">
        <v>268513618</v>
      </c>
      <c r="H10">
        <v>1094649466.5006001</v>
      </c>
      <c r="I10">
        <f t="shared" si="1"/>
        <v>1363163084.5006001</v>
      </c>
      <c r="J10">
        <v>275215438</v>
      </c>
      <c r="K10">
        <v>1247276365.016</v>
      </c>
      <c r="L10">
        <f t="shared" si="2"/>
        <v>1522491803.016</v>
      </c>
      <c r="M10">
        <v>279685168</v>
      </c>
      <c r="N10">
        <v>1283643047.0527999</v>
      </c>
      <c r="O10">
        <f t="shared" si="3"/>
        <v>1563328215.0527999</v>
      </c>
      <c r="P10">
        <v>306125458</v>
      </c>
      <c r="Q10">
        <v>1483392131.8306</v>
      </c>
      <c r="R10">
        <f t="shared" si="4"/>
        <v>1789517589.8306</v>
      </c>
      <c r="S10">
        <v>353731744</v>
      </c>
      <c r="T10">
        <v>1915103662.016</v>
      </c>
      <c r="U10">
        <f t="shared" si="5"/>
        <v>2268835406.0159998</v>
      </c>
      <c r="V10">
        <v>395580544</v>
      </c>
      <c r="W10">
        <v>2192109584.5759997</v>
      </c>
      <c r="X10">
        <f t="shared" si="6"/>
        <v>2587690128.5759997</v>
      </c>
      <c r="Y10">
        <v>463174872</v>
      </c>
      <c r="Z10">
        <v>2677706570.0064001</v>
      </c>
      <c r="AA10">
        <f t="shared" si="7"/>
        <v>3140881442.0064001</v>
      </c>
      <c r="AB10">
        <v>511460382</v>
      </c>
      <c r="AC10">
        <v>3051832953.3558002</v>
      </c>
      <c r="AD10">
        <f t="shared" si="8"/>
        <v>3563293335.3558002</v>
      </c>
      <c r="AE10">
        <v>578465078</v>
      </c>
      <c r="AF10">
        <v>3640454275.3774004</v>
      </c>
      <c r="AG10">
        <f t="shared" si="9"/>
        <v>4218919353.3774004</v>
      </c>
      <c r="AH10">
        <v>593708552</v>
      </c>
      <c r="AI10">
        <v>3841234960.5848002</v>
      </c>
      <c r="AJ10">
        <f>SUM($AH$10+$AI$10)</f>
        <v>4434943512.5848007</v>
      </c>
    </row>
    <row r="11" spans="1:37">
      <c r="B11" t="s">
        <v>113</v>
      </c>
      <c r="C11" t="s">
        <v>114</v>
      </c>
      <c r="D11">
        <v>95657096</v>
      </c>
      <c r="E11">
        <v>213946660.9136</v>
      </c>
      <c r="F11">
        <f t="shared" si="0"/>
        <v>309603756.91359997</v>
      </c>
      <c r="G11">
        <v>107839026</v>
      </c>
      <c r="H11">
        <v>259697942.41319999</v>
      </c>
      <c r="I11">
        <f t="shared" si="1"/>
        <v>367536968.41320002</v>
      </c>
      <c r="J11">
        <v>118463595</v>
      </c>
      <c r="K11">
        <v>321652353.14399999</v>
      </c>
      <c r="L11">
        <f t="shared" si="2"/>
        <v>440115948.14399999</v>
      </c>
      <c r="M11">
        <v>129070575</v>
      </c>
      <c r="N11">
        <v>390916050.5025</v>
      </c>
      <c r="O11">
        <f t="shared" si="3"/>
        <v>519986625.5025</v>
      </c>
      <c r="P11">
        <v>150582575</v>
      </c>
      <c r="Q11">
        <v>493112758.35250002</v>
      </c>
      <c r="R11">
        <f t="shared" si="4"/>
        <v>643695333.35249996</v>
      </c>
      <c r="S11">
        <v>218765035</v>
      </c>
      <c r="T11">
        <v>904877814.27049994</v>
      </c>
      <c r="U11">
        <f t="shared" si="5"/>
        <v>1123642849.2704999</v>
      </c>
      <c r="V11">
        <v>255448285</v>
      </c>
      <c r="W11">
        <v>1107802577.5595</v>
      </c>
      <c r="X11">
        <f t="shared" si="6"/>
        <v>1363250862.5595</v>
      </c>
      <c r="Y11">
        <v>344536488</v>
      </c>
      <c r="Z11">
        <v>1627383647.4191999</v>
      </c>
      <c r="AA11">
        <f t="shared" si="7"/>
        <v>1971920135.4191999</v>
      </c>
      <c r="AB11">
        <v>432096233</v>
      </c>
      <c r="AC11">
        <v>2166055206.4057002</v>
      </c>
      <c r="AD11">
        <f t="shared" si="8"/>
        <v>2598151439.4057002</v>
      </c>
      <c r="AE11">
        <v>513150110</v>
      </c>
      <c r="AF11">
        <v>2790869503.257</v>
      </c>
      <c r="AG11">
        <f t="shared" si="9"/>
        <v>3304019613.257</v>
      </c>
      <c r="AH11">
        <v>531377420</v>
      </c>
      <c r="AI11">
        <v>3025981855.9320002</v>
      </c>
      <c r="AJ11">
        <f>SUM($AH$11+$AI$11)</f>
        <v>3557359275.9320002</v>
      </c>
    </row>
    <row r="12" spans="1:37">
      <c r="B12" s="2" t="s">
        <v>30</v>
      </c>
      <c r="C12" t="s">
        <v>25</v>
      </c>
      <c r="D12">
        <v>30827781</v>
      </c>
      <c r="E12">
        <v>32424660.055800002</v>
      </c>
      <c r="F12">
        <f t="shared" si="0"/>
        <v>63252441.055800006</v>
      </c>
      <c r="G12">
        <v>44301626</v>
      </c>
      <c r="H12">
        <v>51478489.412</v>
      </c>
      <c r="I12">
        <f t="shared" si="1"/>
        <v>95780115.412</v>
      </c>
      <c r="J12">
        <v>43020916</v>
      </c>
      <c r="K12">
        <v>48028550.622400001</v>
      </c>
      <c r="L12">
        <f t="shared" si="2"/>
        <v>91049466.622400001</v>
      </c>
      <c r="M12">
        <v>43910266</v>
      </c>
      <c r="N12">
        <v>49636164.686400004</v>
      </c>
      <c r="O12">
        <f t="shared" si="3"/>
        <v>93546430.686399996</v>
      </c>
      <c r="P12">
        <v>43910266</v>
      </c>
      <c r="Q12">
        <v>49636164.686400004</v>
      </c>
      <c r="R12">
        <f t="shared" si="4"/>
        <v>93546430.686399996</v>
      </c>
      <c r="S12">
        <v>44277676</v>
      </c>
      <c r="T12">
        <v>49338614.366800003</v>
      </c>
      <c r="U12">
        <f t="shared" si="5"/>
        <v>93616290.36680001</v>
      </c>
      <c r="V12">
        <v>47786576</v>
      </c>
      <c r="W12">
        <v>52221170.252800003</v>
      </c>
      <c r="X12">
        <f t="shared" si="6"/>
        <v>100007746.2528</v>
      </c>
      <c r="Y12">
        <v>48601701</v>
      </c>
      <c r="Z12">
        <v>54326981.377800003</v>
      </c>
      <c r="AA12">
        <f t="shared" si="7"/>
        <v>102928682.3778</v>
      </c>
      <c r="AB12">
        <v>57341445</v>
      </c>
      <c r="AC12">
        <v>66900263.881499998</v>
      </c>
      <c r="AD12">
        <f t="shared" si="8"/>
        <v>124241708.88150001</v>
      </c>
      <c r="AE12">
        <v>75834830</v>
      </c>
      <c r="AF12">
        <v>96507404.658000007</v>
      </c>
      <c r="AG12">
        <f t="shared" si="9"/>
        <v>172342234.65799999</v>
      </c>
      <c r="AH12">
        <v>104244045</v>
      </c>
      <c r="AI12">
        <v>149631902.19299999</v>
      </c>
      <c r="AJ12">
        <f>SUM($AH$12+$AI$12)</f>
        <v>253875947.19299999</v>
      </c>
    </row>
    <row r="13" spans="1:37">
      <c r="B13" s="2" t="s">
        <v>28</v>
      </c>
      <c r="C13" t="s">
        <v>26</v>
      </c>
      <c r="D13">
        <v>126656891</v>
      </c>
      <c r="E13">
        <v>369812790.34180003</v>
      </c>
      <c r="F13">
        <f t="shared" si="0"/>
        <v>496469681.34180003</v>
      </c>
      <c r="G13">
        <v>128477891</v>
      </c>
      <c r="H13">
        <v>380024753.78890002</v>
      </c>
      <c r="I13">
        <f t="shared" si="1"/>
        <v>508502644.78890002</v>
      </c>
      <c r="J13">
        <v>120706531</v>
      </c>
      <c r="K13">
        <v>418960298.4479</v>
      </c>
      <c r="L13">
        <f t="shared" si="2"/>
        <v>539666829.44790006</v>
      </c>
      <c r="M13">
        <v>119412436</v>
      </c>
      <c r="N13">
        <v>417609171.17920005</v>
      </c>
      <c r="O13">
        <f t="shared" si="3"/>
        <v>537021607.17920005</v>
      </c>
      <c r="P13">
        <v>127016896</v>
      </c>
      <c r="Q13">
        <v>466799794.4896</v>
      </c>
      <c r="R13">
        <f t="shared" si="4"/>
        <v>593816690.48959994</v>
      </c>
      <c r="S13">
        <v>159199561</v>
      </c>
      <c r="T13">
        <v>642768227.53750002</v>
      </c>
      <c r="U13">
        <f t="shared" si="5"/>
        <v>801967788.53750002</v>
      </c>
      <c r="V13">
        <v>175837971</v>
      </c>
      <c r="W13">
        <v>721410443.62169993</v>
      </c>
      <c r="X13">
        <f t="shared" si="6"/>
        <v>897248414.62169993</v>
      </c>
      <c r="Y13">
        <v>195320271</v>
      </c>
      <c r="Z13">
        <v>803137422.32490003</v>
      </c>
      <c r="AA13">
        <f t="shared" si="7"/>
        <v>998457693.32490003</v>
      </c>
      <c r="AB13">
        <v>225998726</v>
      </c>
      <c r="AC13">
        <v>928470566.02579999</v>
      </c>
      <c r="AD13">
        <f t="shared" si="8"/>
        <v>1154469292.0258</v>
      </c>
      <c r="AE13">
        <v>274122887</v>
      </c>
      <c r="AF13">
        <v>1241502555.223</v>
      </c>
      <c r="AG13">
        <f t="shared" si="9"/>
        <v>1515625442.223</v>
      </c>
      <c r="AH13">
        <v>267481456</v>
      </c>
      <c r="AI13">
        <v>1245527399.8639998</v>
      </c>
      <c r="AJ13">
        <f>SUM($AH$13+$AI$13)</f>
        <v>1513008855.8639998</v>
      </c>
    </row>
    <row r="14" spans="1:37">
      <c r="B14" s="2" t="s">
        <v>95</v>
      </c>
      <c r="C14" t="s">
        <v>94</v>
      </c>
      <c r="D14">
        <v>144648009</v>
      </c>
      <c r="E14">
        <v>596094445.08899999</v>
      </c>
      <c r="F14">
        <f t="shared" si="0"/>
        <v>740742454.08899999</v>
      </c>
      <c r="G14">
        <v>210234519</v>
      </c>
      <c r="H14">
        <v>1063408244.0058</v>
      </c>
      <c r="I14">
        <f t="shared" si="1"/>
        <v>1273642763.0058</v>
      </c>
      <c r="J14">
        <v>247481064</v>
      </c>
      <c r="K14">
        <v>1437221531.0736001</v>
      </c>
      <c r="L14">
        <f t="shared" si="2"/>
        <v>1684702595.0736001</v>
      </c>
      <c r="M14">
        <v>273251348</v>
      </c>
      <c r="N14">
        <v>1770231532.8832002</v>
      </c>
      <c r="O14">
        <f t="shared" si="3"/>
        <v>2043482880.8832002</v>
      </c>
      <c r="P14">
        <v>330740088</v>
      </c>
      <c r="Q14">
        <v>2301487976.3568001</v>
      </c>
      <c r="R14">
        <f t="shared" si="4"/>
        <v>2632228064.3568001</v>
      </c>
      <c r="S14">
        <v>543683638</v>
      </c>
      <c r="T14">
        <v>4283411541.9830003</v>
      </c>
      <c r="U14">
        <f t="shared" si="5"/>
        <v>4827095179.9829998</v>
      </c>
      <c r="V14">
        <v>602618688</v>
      </c>
      <c r="W14">
        <v>4874401781.6255999</v>
      </c>
      <c r="X14">
        <f t="shared" si="6"/>
        <v>5477020469.6255999</v>
      </c>
      <c r="Y14">
        <v>750028696</v>
      </c>
      <c r="Z14">
        <v>6301366089.4440002</v>
      </c>
      <c r="AA14">
        <f t="shared" si="7"/>
        <v>7051394785.4440002</v>
      </c>
      <c r="AB14">
        <v>865212311</v>
      </c>
      <c r="AC14">
        <v>7623385672.2210007</v>
      </c>
      <c r="AD14">
        <f t="shared" si="8"/>
        <v>8488597983.2210007</v>
      </c>
      <c r="AE14">
        <v>1006758834</v>
      </c>
      <c r="AF14">
        <v>9354803085.5279999</v>
      </c>
      <c r="AG14">
        <f t="shared" si="9"/>
        <v>10361561919.528</v>
      </c>
      <c r="AH14">
        <v>1110616144</v>
      </c>
      <c r="AI14">
        <v>10847387878.448</v>
      </c>
      <c r="AJ14">
        <f>SUM($AH$14+$AI$14)</f>
        <v>11958004022.448</v>
      </c>
    </row>
    <row r="15" spans="1:37">
      <c r="B15" t="s">
        <v>231</v>
      </c>
      <c r="C15" t="s">
        <v>227</v>
      </c>
      <c r="D15">
        <v>215394330</v>
      </c>
      <c r="E15">
        <v>400504217.20200002</v>
      </c>
      <c r="F15">
        <f t="shared" si="0"/>
        <v>615898547.20200002</v>
      </c>
      <c r="G15">
        <v>215394330</v>
      </c>
      <c r="H15">
        <v>400504217.20200002</v>
      </c>
      <c r="I15">
        <f t="shared" si="1"/>
        <v>615898547.20200002</v>
      </c>
      <c r="J15">
        <v>215394330</v>
      </c>
      <c r="K15">
        <v>400504217.20200002</v>
      </c>
      <c r="L15">
        <f t="shared" si="2"/>
        <v>615898547.20200002</v>
      </c>
      <c r="M15">
        <v>215394330</v>
      </c>
      <c r="N15">
        <v>400504217.20200002</v>
      </c>
      <c r="O15">
        <f t="shared" si="3"/>
        <v>615898547.20200002</v>
      </c>
      <c r="P15">
        <v>215394330</v>
      </c>
      <c r="Q15">
        <v>400504217.20200002</v>
      </c>
      <c r="R15">
        <f t="shared" si="4"/>
        <v>615898547.20200002</v>
      </c>
      <c r="S15">
        <v>215394330</v>
      </c>
      <c r="T15">
        <v>400504217.20200002</v>
      </c>
      <c r="U15">
        <f t="shared" si="5"/>
        <v>615898547.20200002</v>
      </c>
      <c r="V15">
        <v>215394330</v>
      </c>
      <c r="W15">
        <v>400504217.20200002</v>
      </c>
      <c r="X15">
        <f t="shared" si="6"/>
        <v>615898547.20200002</v>
      </c>
      <c r="Y15">
        <v>215394330</v>
      </c>
      <c r="Z15">
        <v>400504217.20200002</v>
      </c>
      <c r="AA15">
        <f t="shared" si="7"/>
        <v>615898547.20200002</v>
      </c>
      <c r="AB15">
        <v>215394330</v>
      </c>
      <c r="AC15">
        <v>400504217.20200002</v>
      </c>
      <c r="AD15">
        <f t="shared" si="8"/>
        <v>615898547.20200002</v>
      </c>
      <c r="AE15">
        <v>257626976</v>
      </c>
      <c r="AF15">
        <v>591176621.82720006</v>
      </c>
      <c r="AG15">
        <f t="shared" si="9"/>
        <v>848803597.82720006</v>
      </c>
      <c r="AH15">
        <v>290521319</v>
      </c>
      <c r="AI15">
        <v>760061874.76779997</v>
      </c>
      <c r="AJ15">
        <f>SUM($AH$15+$AI$15)</f>
        <v>1050583193.7678</v>
      </c>
    </row>
    <row r="16" spans="1:37">
      <c r="B16" t="s">
        <v>134</v>
      </c>
      <c r="C16" t="s">
        <v>135</v>
      </c>
      <c r="D16">
        <v>178489769</v>
      </c>
      <c r="E16">
        <v>598940268.85640001</v>
      </c>
      <c r="F16">
        <f t="shared" si="0"/>
        <v>777430037.85640001</v>
      </c>
      <c r="G16">
        <v>195693359</v>
      </c>
      <c r="H16">
        <v>693556833.63190007</v>
      </c>
      <c r="I16">
        <f t="shared" si="1"/>
        <v>889250192.63190007</v>
      </c>
      <c r="J16">
        <v>206724694</v>
      </c>
      <c r="K16">
        <v>864274600.67519999</v>
      </c>
      <c r="L16">
        <f t="shared" si="2"/>
        <v>1070999294.6752</v>
      </c>
      <c r="M16">
        <v>206724694</v>
      </c>
      <c r="N16">
        <v>864274600.67519999</v>
      </c>
      <c r="O16">
        <f t="shared" si="3"/>
        <v>1070999294.6752</v>
      </c>
      <c r="P16">
        <v>220171029</v>
      </c>
      <c r="Q16">
        <v>942574192.25190008</v>
      </c>
      <c r="R16">
        <f t="shared" si="4"/>
        <v>1162745221.2519002</v>
      </c>
      <c r="S16">
        <v>259820074</v>
      </c>
      <c r="T16">
        <v>1208319236.1444001</v>
      </c>
      <c r="U16">
        <f t="shared" si="5"/>
        <v>1468139310.1444001</v>
      </c>
      <c r="V16">
        <v>264902344</v>
      </c>
      <c r="W16">
        <v>1231954841.0064001</v>
      </c>
      <c r="X16">
        <f t="shared" si="6"/>
        <v>1496857185.0064001</v>
      </c>
      <c r="Y16">
        <v>283863313</v>
      </c>
      <c r="Z16">
        <v>1339891610.0225999</v>
      </c>
      <c r="AA16">
        <f t="shared" si="7"/>
        <v>1623754923.0225999</v>
      </c>
      <c r="AB16">
        <v>324249559</v>
      </c>
      <c r="AC16">
        <v>1632077730.2705998</v>
      </c>
      <c r="AD16">
        <f t="shared" si="8"/>
        <v>1956327289.2705998</v>
      </c>
      <c r="AE16">
        <v>333088520</v>
      </c>
      <c r="AF16">
        <v>1720835220.8759999</v>
      </c>
      <c r="AG16">
        <f t="shared" si="9"/>
        <v>2053923740.8759999</v>
      </c>
      <c r="AH16">
        <v>341486874</v>
      </c>
      <c r="AI16">
        <v>1776448867.2354002</v>
      </c>
      <c r="AJ16">
        <f>SUM($AH$16+$AI$16)</f>
        <v>2117935741.2354002</v>
      </c>
    </row>
    <row r="17" spans="2:36">
      <c r="B17" s="2" t="s">
        <v>54</v>
      </c>
      <c r="C17" t="s">
        <v>53</v>
      </c>
      <c r="D17">
        <v>28123061</v>
      </c>
      <c r="E17">
        <v>29287355.725400001</v>
      </c>
      <c r="F17">
        <f t="shared" si="0"/>
        <v>57410416.725400001</v>
      </c>
      <c r="G17">
        <v>28123061</v>
      </c>
      <c r="H17">
        <v>29287355.725400001</v>
      </c>
      <c r="I17">
        <f t="shared" si="1"/>
        <v>57410416.725400001</v>
      </c>
      <c r="J17">
        <v>28123061</v>
      </c>
      <c r="K17">
        <v>29287355.725400001</v>
      </c>
      <c r="L17">
        <f t="shared" si="2"/>
        <v>57410416.725400001</v>
      </c>
      <c r="M17">
        <v>28123061</v>
      </c>
      <c r="N17">
        <v>29287355.725400001</v>
      </c>
      <c r="O17">
        <f t="shared" si="3"/>
        <v>57410416.725400001</v>
      </c>
      <c r="P17">
        <v>28123061</v>
      </c>
      <c r="Q17">
        <v>29287355.725400001</v>
      </c>
      <c r="R17">
        <f t="shared" si="4"/>
        <v>57410416.725400001</v>
      </c>
      <c r="S17">
        <v>28123061</v>
      </c>
      <c r="T17">
        <v>29287355.725400001</v>
      </c>
      <c r="U17">
        <f t="shared" si="5"/>
        <v>57410416.725400001</v>
      </c>
      <c r="V17">
        <v>29631626</v>
      </c>
      <c r="W17">
        <v>36355041.939400002</v>
      </c>
      <c r="X17">
        <f t="shared" si="6"/>
        <v>65986667.939400002</v>
      </c>
      <c r="Y17">
        <v>35328199</v>
      </c>
      <c r="Z17">
        <v>45477990.572699994</v>
      </c>
      <c r="AA17">
        <f t="shared" si="7"/>
        <v>80806189.572699994</v>
      </c>
      <c r="AB17">
        <v>55037054</v>
      </c>
      <c r="AC17">
        <v>76198801.262999997</v>
      </c>
      <c r="AD17">
        <f t="shared" si="8"/>
        <v>131235855.263</v>
      </c>
      <c r="AE17">
        <v>66178825</v>
      </c>
      <c r="AF17">
        <v>95793849.1875</v>
      </c>
      <c r="AG17">
        <f t="shared" si="9"/>
        <v>161972674.1875</v>
      </c>
      <c r="AH17">
        <v>71492115</v>
      </c>
      <c r="AI17">
        <v>105601003.06650001</v>
      </c>
      <c r="AJ17">
        <f>SUM($AH$17+$AI$17)</f>
        <v>177093118.06650001</v>
      </c>
    </row>
    <row r="18" spans="2:36">
      <c r="B18" t="s">
        <v>6</v>
      </c>
      <c r="C18" t="s">
        <v>4</v>
      </c>
      <c r="D18">
        <v>150860945</v>
      </c>
      <c r="E18">
        <v>529144764.58749998</v>
      </c>
      <c r="F18">
        <f t="shared" si="0"/>
        <v>680005709.58749998</v>
      </c>
      <c r="G18">
        <v>166062440</v>
      </c>
      <c r="H18">
        <v>651529377.09599996</v>
      </c>
      <c r="I18">
        <f t="shared" si="1"/>
        <v>817591817.09599996</v>
      </c>
      <c r="J18">
        <v>162982211</v>
      </c>
      <c r="K18">
        <v>669009379.71280003</v>
      </c>
      <c r="L18">
        <f t="shared" si="2"/>
        <v>831991590.71280003</v>
      </c>
      <c r="M18">
        <v>167264131</v>
      </c>
      <c r="N18">
        <v>703747104.7694</v>
      </c>
      <c r="O18">
        <f t="shared" si="3"/>
        <v>871011235.7694</v>
      </c>
      <c r="P18">
        <v>177098496</v>
      </c>
      <c r="Q18">
        <v>772326541.05599999</v>
      </c>
      <c r="R18">
        <f t="shared" si="4"/>
        <v>949425037.05599999</v>
      </c>
      <c r="S18">
        <v>242589098</v>
      </c>
      <c r="T18">
        <v>1255932278.1656001</v>
      </c>
      <c r="U18">
        <f t="shared" si="5"/>
        <v>1498521376.1656001</v>
      </c>
      <c r="V18">
        <v>304635530</v>
      </c>
      <c r="W18">
        <v>1661695425.4910002</v>
      </c>
      <c r="X18">
        <f t="shared" si="6"/>
        <v>1966330955.4910002</v>
      </c>
      <c r="Y18">
        <v>357782383</v>
      </c>
      <c r="Z18">
        <v>1984189539.6414001</v>
      </c>
      <c r="AA18">
        <f t="shared" si="7"/>
        <v>2341971922.6414003</v>
      </c>
      <c r="AB18">
        <v>444863403</v>
      </c>
      <c r="AC18">
        <v>2604808683.5858998</v>
      </c>
      <c r="AD18">
        <f t="shared" si="8"/>
        <v>3049672086.5858998</v>
      </c>
      <c r="AE18">
        <v>500926369</v>
      </c>
      <c r="AF18">
        <v>3132743419.0890999</v>
      </c>
      <c r="AG18">
        <f t="shared" si="9"/>
        <v>3633669788.0890999</v>
      </c>
      <c r="AH18">
        <v>521025414</v>
      </c>
      <c r="AI18">
        <v>3271622779.5888</v>
      </c>
      <c r="AJ18">
        <f>SUM($AH$18+$AI$18)</f>
        <v>3792648193.5888</v>
      </c>
    </row>
    <row r="19" spans="2:36">
      <c r="B19" s="2" t="s">
        <v>22</v>
      </c>
      <c r="C19" t="s">
        <v>17</v>
      </c>
      <c r="D19">
        <v>28150138</v>
      </c>
      <c r="E19">
        <v>28870781.5328</v>
      </c>
      <c r="F19">
        <f t="shared" si="0"/>
        <v>57020919.532800004</v>
      </c>
      <c r="G19">
        <v>31279675</v>
      </c>
      <c r="H19">
        <v>34004134.692499995</v>
      </c>
      <c r="I19">
        <f t="shared" si="1"/>
        <v>65283809.692499995</v>
      </c>
      <c r="J19">
        <v>39995340</v>
      </c>
      <c r="K19">
        <v>65772336.629999995</v>
      </c>
      <c r="L19">
        <f t="shared" si="2"/>
        <v>105767676.63</v>
      </c>
      <c r="M19">
        <v>40084665</v>
      </c>
      <c r="N19">
        <v>66139697.25</v>
      </c>
      <c r="O19">
        <f t="shared" si="3"/>
        <v>106224362.25</v>
      </c>
      <c r="P19">
        <v>64607015</v>
      </c>
      <c r="Q19">
        <v>115737006.67099999</v>
      </c>
      <c r="R19">
        <f t="shared" si="4"/>
        <v>180344021.671</v>
      </c>
      <c r="S19">
        <v>81396820</v>
      </c>
      <c r="T19">
        <v>173236852.00600001</v>
      </c>
      <c r="U19">
        <f t="shared" si="5"/>
        <v>254633672.00600001</v>
      </c>
      <c r="V19">
        <v>94661260</v>
      </c>
      <c r="W19">
        <v>203171462.338</v>
      </c>
      <c r="X19">
        <f t="shared" si="6"/>
        <v>297832722.338</v>
      </c>
      <c r="Y19">
        <v>118741225</v>
      </c>
      <c r="Z19">
        <v>272309251.29250002</v>
      </c>
      <c r="AA19">
        <f t="shared" si="7"/>
        <v>391050476.29250002</v>
      </c>
      <c r="AB19">
        <v>139165210</v>
      </c>
      <c r="AC19">
        <v>321847381.167</v>
      </c>
      <c r="AD19">
        <f t="shared" si="8"/>
        <v>461012591.167</v>
      </c>
      <c r="AE19">
        <v>155731901</v>
      </c>
      <c r="AF19">
        <v>390871498.31990004</v>
      </c>
      <c r="AG19">
        <f t="shared" si="9"/>
        <v>546603399.31990004</v>
      </c>
      <c r="AH19">
        <v>157057050</v>
      </c>
      <c r="AI19">
        <v>442586766.90000004</v>
      </c>
      <c r="AJ19">
        <f>SUM($AH$19+$AI$19)</f>
        <v>599643816.9000001</v>
      </c>
    </row>
    <row r="20" spans="2:36">
      <c r="B20" s="1" t="s">
        <v>5</v>
      </c>
      <c r="C20" t="s">
        <v>3</v>
      </c>
      <c r="D20">
        <v>416679587</v>
      </c>
      <c r="E20">
        <v>2696250271.5596004</v>
      </c>
      <c r="F20">
        <f t="shared" si="0"/>
        <v>3112929858.5596004</v>
      </c>
      <c r="G20">
        <v>427931697</v>
      </c>
      <c r="H20">
        <v>2841723227.0981998</v>
      </c>
      <c r="I20">
        <f t="shared" si="1"/>
        <v>3269654924.0981998</v>
      </c>
      <c r="J20">
        <v>446109417</v>
      </c>
      <c r="K20">
        <v>3027387725.6454</v>
      </c>
      <c r="L20">
        <f t="shared" si="2"/>
        <v>3473497142.6454</v>
      </c>
      <c r="M20">
        <v>444271037</v>
      </c>
      <c r="N20">
        <v>3024019667.5478997</v>
      </c>
      <c r="O20">
        <f t="shared" si="3"/>
        <v>3468290704.5478997</v>
      </c>
      <c r="P20">
        <v>476908092</v>
      </c>
      <c r="Q20">
        <v>3320377208.9316001</v>
      </c>
      <c r="R20">
        <f t="shared" si="4"/>
        <v>3797285300.9316001</v>
      </c>
      <c r="S20">
        <v>577652774</v>
      </c>
      <c r="T20">
        <v>4600080100.4716005</v>
      </c>
      <c r="U20">
        <f t="shared" si="5"/>
        <v>5177732874.4716005</v>
      </c>
      <c r="V20">
        <v>704885416</v>
      </c>
      <c r="W20">
        <v>6020637803.6808004</v>
      </c>
      <c r="X20">
        <f t="shared" si="6"/>
        <v>6725523219.6808004</v>
      </c>
      <c r="Y20">
        <v>813341926</v>
      </c>
      <c r="Z20">
        <v>7349926982.6841993</v>
      </c>
      <c r="AA20">
        <f t="shared" si="7"/>
        <v>8163268908.6841993</v>
      </c>
      <c r="AB20">
        <v>926836931</v>
      </c>
      <c r="AC20">
        <v>8768155418.3393002</v>
      </c>
      <c r="AD20">
        <f t="shared" si="8"/>
        <v>9694992349.3393002</v>
      </c>
      <c r="AE20">
        <v>993907837</v>
      </c>
      <c r="AF20">
        <v>9437453084.6660995</v>
      </c>
      <c r="AG20">
        <f t="shared" si="9"/>
        <v>10431360921.6661</v>
      </c>
      <c r="AH20">
        <v>1020918302</v>
      </c>
      <c r="AI20">
        <v>9977434565.4459991</v>
      </c>
      <c r="AJ20">
        <f>SUM($AH$20+$AI$20)</f>
        <v>10998352867.445999</v>
      </c>
    </row>
    <row r="21" spans="2:36">
      <c r="B21" t="s">
        <v>138</v>
      </c>
      <c r="C21" t="s">
        <v>139</v>
      </c>
      <c r="D21">
        <v>82423174</v>
      </c>
      <c r="E21">
        <v>225138899.78099999</v>
      </c>
      <c r="F21">
        <f t="shared" si="0"/>
        <v>307562073.78100002</v>
      </c>
      <c r="G21">
        <v>84709434</v>
      </c>
      <c r="H21">
        <v>235026324.63299999</v>
      </c>
      <c r="I21">
        <f t="shared" si="1"/>
        <v>319735758.63300002</v>
      </c>
      <c r="J21">
        <v>102511899</v>
      </c>
      <c r="K21">
        <v>354691170.54000002</v>
      </c>
      <c r="L21">
        <f t="shared" si="2"/>
        <v>457203069.54000002</v>
      </c>
      <c r="M21">
        <v>108641649</v>
      </c>
      <c r="N21">
        <v>384569709.13020003</v>
      </c>
      <c r="O21">
        <f t="shared" si="3"/>
        <v>493211358.13020003</v>
      </c>
      <c r="P21">
        <v>135675964</v>
      </c>
      <c r="Q21">
        <v>509951678.29040003</v>
      </c>
      <c r="R21">
        <f t="shared" si="4"/>
        <v>645627642.29040003</v>
      </c>
      <c r="S21">
        <v>190586089</v>
      </c>
      <c r="T21">
        <v>830593234.47090006</v>
      </c>
      <c r="U21">
        <f t="shared" si="5"/>
        <v>1021179323.4709001</v>
      </c>
      <c r="V21">
        <v>225902569</v>
      </c>
      <c r="W21">
        <v>1008677560.8419</v>
      </c>
      <c r="X21">
        <f t="shared" si="6"/>
        <v>1234580129.8418999</v>
      </c>
      <c r="Y21">
        <v>327364886</v>
      </c>
      <c r="Z21">
        <v>1568306959.3601999</v>
      </c>
      <c r="AA21">
        <f t="shared" si="7"/>
        <v>1895671845.3601999</v>
      </c>
      <c r="AB21">
        <v>415758706</v>
      </c>
      <c r="AC21">
        <v>2145023891.8657999</v>
      </c>
      <c r="AD21">
        <f t="shared" si="8"/>
        <v>2560782597.8657999</v>
      </c>
      <c r="AE21">
        <v>478506223</v>
      </c>
      <c r="AF21">
        <v>2632501985.8344998</v>
      </c>
      <c r="AG21">
        <f t="shared" si="9"/>
        <v>3111008208.8344998</v>
      </c>
      <c r="AH21">
        <v>524625858</v>
      </c>
      <c r="AI21">
        <v>2973002274.7002001</v>
      </c>
      <c r="AJ21">
        <f>SUM($AH$21+$AI$21)</f>
        <v>3497628132.7002001</v>
      </c>
    </row>
    <row r="22" spans="2:36">
      <c r="B22" s="2" t="s">
        <v>31</v>
      </c>
      <c r="C22" t="s">
        <v>32</v>
      </c>
      <c r="D22">
        <v>473268357</v>
      </c>
      <c r="E22">
        <v>3994952855.1083999</v>
      </c>
      <c r="F22">
        <f t="shared" si="0"/>
        <v>4468221212.1084003</v>
      </c>
      <c r="G22">
        <v>481260857</v>
      </c>
      <c r="H22">
        <v>4101882536.3824</v>
      </c>
      <c r="I22">
        <f t="shared" si="1"/>
        <v>4583143393.3824005</v>
      </c>
      <c r="J22">
        <v>502900097</v>
      </c>
      <c r="K22">
        <v>4467814751.7577</v>
      </c>
      <c r="L22">
        <f t="shared" si="2"/>
        <v>4970714848.7577</v>
      </c>
      <c r="M22">
        <v>536486362</v>
      </c>
      <c r="N22">
        <v>4887927244.1820002</v>
      </c>
      <c r="O22">
        <f t="shared" si="3"/>
        <v>5424413606.1820002</v>
      </c>
      <c r="P22">
        <v>551691757</v>
      </c>
      <c r="Q22">
        <v>5086046307.783</v>
      </c>
      <c r="R22">
        <f t="shared" si="4"/>
        <v>5637738064.783</v>
      </c>
      <c r="S22">
        <v>684655622</v>
      </c>
      <c r="T22">
        <v>6913515539.8316002</v>
      </c>
      <c r="U22">
        <f t="shared" si="5"/>
        <v>7598171161.8316002</v>
      </c>
      <c r="V22">
        <v>713186857</v>
      </c>
      <c r="W22">
        <v>7311520339.2783003</v>
      </c>
      <c r="X22">
        <f t="shared" si="6"/>
        <v>8024707196.2783003</v>
      </c>
      <c r="Y22">
        <v>783452552</v>
      </c>
      <c r="Z22">
        <v>8328100627.7600002</v>
      </c>
      <c r="AA22">
        <f t="shared" si="7"/>
        <v>9111553179.7600002</v>
      </c>
      <c r="AB22">
        <v>916587347</v>
      </c>
      <c r="AC22">
        <v>9999601320.8311996</v>
      </c>
      <c r="AD22">
        <f t="shared" si="8"/>
        <v>10916188667.8312</v>
      </c>
      <c r="AE22">
        <v>1072231098</v>
      </c>
      <c r="AF22">
        <v>12199845433.043999</v>
      </c>
      <c r="AG22">
        <f t="shared" si="9"/>
        <v>13272076531.043999</v>
      </c>
      <c r="AH22">
        <v>1115559358</v>
      </c>
      <c r="AI22">
        <v>12860726058.702999</v>
      </c>
      <c r="AJ22">
        <f>SUM($AH$22+$AI$22)</f>
        <v>13976285416.702999</v>
      </c>
    </row>
    <row r="23" spans="2:36">
      <c r="B23" s="3" t="s">
        <v>90</v>
      </c>
      <c r="C23" t="s">
        <v>88</v>
      </c>
      <c r="D23">
        <v>137664626</v>
      </c>
      <c r="E23">
        <v>598083967.65699995</v>
      </c>
      <c r="F23">
        <f t="shared" si="0"/>
        <v>735748593.65699995</v>
      </c>
      <c r="G23">
        <v>142205626</v>
      </c>
      <c r="H23">
        <v>624567109.39199996</v>
      </c>
      <c r="I23">
        <f t="shared" si="1"/>
        <v>766772735.39199996</v>
      </c>
      <c r="J23">
        <v>142433976</v>
      </c>
      <c r="K23">
        <v>624174169.62720001</v>
      </c>
      <c r="L23">
        <f t="shared" si="2"/>
        <v>766608145.62720001</v>
      </c>
      <c r="M23">
        <v>141972976</v>
      </c>
      <c r="N23">
        <v>623147786.25919998</v>
      </c>
      <c r="O23">
        <f t="shared" si="3"/>
        <v>765120762.25919998</v>
      </c>
      <c r="P23">
        <v>149805371</v>
      </c>
      <c r="Q23">
        <v>668746156.68110001</v>
      </c>
      <c r="R23">
        <f t="shared" si="4"/>
        <v>818551527.68110001</v>
      </c>
      <c r="S23">
        <v>184472796</v>
      </c>
      <c r="T23">
        <v>960457612.37399995</v>
      </c>
      <c r="U23">
        <f t="shared" si="5"/>
        <v>1144930408.3740001</v>
      </c>
      <c r="V23">
        <v>208759125</v>
      </c>
      <c r="W23">
        <v>1076278544.8499999</v>
      </c>
      <c r="X23">
        <f t="shared" si="6"/>
        <v>1285037669.8499999</v>
      </c>
      <c r="Y23">
        <v>321295598</v>
      </c>
      <c r="Z23">
        <v>1754370353.7593999</v>
      </c>
      <c r="AA23">
        <f t="shared" si="7"/>
        <v>2075665951.7593999</v>
      </c>
      <c r="AB23">
        <v>398112258</v>
      </c>
      <c r="AC23">
        <v>2321312953.9464002</v>
      </c>
      <c r="AD23">
        <f t="shared" si="8"/>
        <v>2719425211.9464002</v>
      </c>
      <c r="AE23">
        <v>499925149</v>
      </c>
      <c r="AF23">
        <v>3142229531.5246</v>
      </c>
      <c r="AG23">
        <f t="shared" si="9"/>
        <v>3642154680.5246</v>
      </c>
      <c r="AH23">
        <v>530154172</v>
      </c>
      <c r="AI23">
        <v>3380422046.9236002</v>
      </c>
      <c r="AJ23">
        <f>SUM($AH$23+$AI$23)</f>
        <v>3910576218.9236002</v>
      </c>
    </row>
    <row r="24" spans="2:36">
      <c r="B24" t="s">
        <v>116</v>
      </c>
      <c r="C24" t="s">
        <v>117</v>
      </c>
      <c r="D24">
        <v>64480061</v>
      </c>
      <c r="E24">
        <v>129243834.2684</v>
      </c>
      <c r="F24">
        <f t="shared" si="0"/>
        <v>193723895.26840001</v>
      </c>
      <c r="G24">
        <v>69988181</v>
      </c>
      <c r="H24">
        <v>143860706.04550001</v>
      </c>
      <c r="I24">
        <f t="shared" si="1"/>
        <v>213848887.04550001</v>
      </c>
      <c r="J24">
        <v>61428476</v>
      </c>
      <c r="K24">
        <v>145524059.64399999</v>
      </c>
      <c r="L24">
        <f t="shared" si="2"/>
        <v>206952535.64399999</v>
      </c>
      <c r="M24">
        <v>64418726</v>
      </c>
      <c r="N24">
        <v>154540523.67399999</v>
      </c>
      <c r="O24">
        <f t="shared" si="3"/>
        <v>218959249.67399999</v>
      </c>
      <c r="P24">
        <v>72715726</v>
      </c>
      <c r="Q24">
        <v>178080812.97400001</v>
      </c>
      <c r="R24">
        <f t="shared" si="4"/>
        <v>250796538.97400001</v>
      </c>
      <c r="S24">
        <v>131899711</v>
      </c>
      <c r="T24">
        <v>409548602.65499997</v>
      </c>
      <c r="U24">
        <f t="shared" si="5"/>
        <v>541448313.65499997</v>
      </c>
      <c r="V24">
        <v>154309161</v>
      </c>
      <c r="W24">
        <v>491551832.36550003</v>
      </c>
      <c r="X24">
        <f t="shared" si="6"/>
        <v>645860993.36549997</v>
      </c>
      <c r="Y24">
        <v>193864959</v>
      </c>
      <c r="Z24">
        <v>637873874.5977</v>
      </c>
      <c r="AA24">
        <f t="shared" si="7"/>
        <v>831738833.5977</v>
      </c>
      <c r="AB24">
        <v>237595139</v>
      </c>
      <c r="AC24">
        <v>824407613.30220008</v>
      </c>
      <c r="AD24">
        <f t="shared" si="8"/>
        <v>1062002752.3022001</v>
      </c>
      <c r="AE24">
        <v>268834485</v>
      </c>
      <c r="AF24">
        <v>1006032409.7670001</v>
      </c>
      <c r="AG24">
        <f t="shared" si="9"/>
        <v>1274866894.7670002</v>
      </c>
      <c r="AH24">
        <v>287860505</v>
      </c>
      <c r="AI24">
        <v>1112149061.0675001</v>
      </c>
      <c r="AJ24">
        <f>SUM($AH$24+$AI$24)</f>
        <v>1400009566.0675001</v>
      </c>
    </row>
    <row r="25" spans="2:36">
      <c r="B25" s="1" t="s">
        <v>171</v>
      </c>
      <c r="C25" t="s">
        <v>172</v>
      </c>
      <c r="D25">
        <v>190871958</v>
      </c>
      <c r="E25">
        <v>848540376.48479998</v>
      </c>
      <c r="F25">
        <f t="shared" si="0"/>
        <v>1039412334.4848</v>
      </c>
      <c r="G25">
        <v>190871958</v>
      </c>
      <c r="H25">
        <v>848540376.48479998</v>
      </c>
      <c r="I25">
        <f t="shared" si="1"/>
        <v>1039412334.4848</v>
      </c>
      <c r="J25">
        <v>190871958</v>
      </c>
      <c r="K25">
        <v>848540376.48479998</v>
      </c>
      <c r="L25">
        <f t="shared" si="2"/>
        <v>1039412334.4848</v>
      </c>
      <c r="M25">
        <v>190871958</v>
      </c>
      <c r="N25">
        <v>848540376.48479998</v>
      </c>
      <c r="O25">
        <f t="shared" si="3"/>
        <v>1039412334.4848</v>
      </c>
      <c r="P25">
        <v>190871958</v>
      </c>
      <c r="Q25">
        <v>848540376.48479998</v>
      </c>
      <c r="R25">
        <f t="shared" si="4"/>
        <v>1039412334.4848</v>
      </c>
      <c r="S25">
        <v>236439002</v>
      </c>
      <c r="T25">
        <v>1135049073.0012</v>
      </c>
      <c r="U25">
        <f t="shared" si="5"/>
        <v>1371488075.0012</v>
      </c>
      <c r="V25">
        <v>270084962</v>
      </c>
      <c r="W25">
        <v>1342970465.0488</v>
      </c>
      <c r="X25">
        <f t="shared" si="6"/>
        <v>1613055427.0488</v>
      </c>
      <c r="Y25">
        <v>351370430</v>
      </c>
      <c r="Z25">
        <v>1842656809.0059998</v>
      </c>
      <c r="AA25">
        <f t="shared" si="7"/>
        <v>2194027239.0059996</v>
      </c>
      <c r="AB25">
        <v>428707757</v>
      </c>
      <c r="AC25">
        <v>2421298540.7602997</v>
      </c>
      <c r="AD25">
        <f t="shared" si="8"/>
        <v>2850006297.7602997</v>
      </c>
      <c r="AE25">
        <v>513106208</v>
      </c>
      <c r="AF25">
        <v>3165916613.9808002</v>
      </c>
      <c r="AG25">
        <f t="shared" si="9"/>
        <v>3679022821.9808002</v>
      </c>
      <c r="AH25">
        <v>554490758</v>
      </c>
      <c r="AI25">
        <v>3507763984.1838002</v>
      </c>
      <c r="AJ25">
        <f>SUM($AH$25+$AI$25)</f>
        <v>4062254742.1838002</v>
      </c>
    </row>
    <row r="26" spans="2:36">
      <c r="B26" s="2" t="s">
        <v>50</v>
      </c>
      <c r="C26" t="s">
        <v>49</v>
      </c>
      <c r="D26">
        <v>153450336</v>
      </c>
      <c r="E26">
        <v>647990078.86079991</v>
      </c>
      <c r="F26">
        <f t="shared" si="0"/>
        <v>801440414.86079991</v>
      </c>
      <c r="G26">
        <v>173467026</v>
      </c>
      <c r="H26">
        <v>787748458.47119999</v>
      </c>
      <c r="I26">
        <f t="shared" si="1"/>
        <v>961215484.47119999</v>
      </c>
      <c r="J26">
        <v>174579646</v>
      </c>
      <c r="K26">
        <v>861969544.16040003</v>
      </c>
      <c r="L26">
        <f t="shared" si="2"/>
        <v>1036549190.1604</v>
      </c>
      <c r="M26">
        <v>178145581</v>
      </c>
      <c r="N26">
        <v>894326445.73619998</v>
      </c>
      <c r="O26">
        <f t="shared" si="3"/>
        <v>1072472026.7362</v>
      </c>
      <c r="P26">
        <v>230968436</v>
      </c>
      <c r="Q26">
        <v>1244481030.0115998</v>
      </c>
      <c r="R26">
        <f t="shared" si="4"/>
        <v>1475449466.0115998</v>
      </c>
      <c r="S26">
        <v>328291260</v>
      </c>
      <c r="T26">
        <v>2044072701.2639999</v>
      </c>
      <c r="U26">
        <f t="shared" si="5"/>
        <v>2372363961.2639999</v>
      </c>
      <c r="V26">
        <v>425644700</v>
      </c>
      <c r="W26">
        <v>2745408315</v>
      </c>
      <c r="X26">
        <f t="shared" si="6"/>
        <v>3171053015</v>
      </c>
      <c r="Y26">
        <v>511274083</v>
      </c>
      <c r="Z26">
        <v>3382640460.5363002</v>
      </c>
      <c r="AA26">
        <f t="shared" si="7"/>
        <v>3893914543.5363002</v>
      </c>
      <c r="AB26">
        <v>655164573</v>
      </c>
      <c r="AC26">
        <v>4646099569.4294996</v>
      </c>
      <c r="AD26">
        <f t="shared" si="8"/>
        <v>5301264142.4294996</v>
      </c>
      <c r="AE26">
        <v>733390224</v>
      </c>
      <c r="AF26">
        <v>5504827021.3439999</v>
      </c>
      <c r="AG26">
        <f t="shared" si="9"/>
        <v>6238217245.3439999</v>
      </c>
      <c r="AH26">
        <v>793375859</v>
      </c>
      <c r="AI26">
        <v>6140094447.9727993</v>
      </c>
      <c r="AJ26">
        <f>SUM($AH$26+$AI$26)</f>
        <v>6933470306.9727993</v>
      </c>
    </row>
    <row r="27" spans="2:36">
      <c r="B27" s="2" t="s">
        <v>36</v>
      </c>
      <c r="C27" t="s">
        <v>35</v>
      </c>
      <c r="D27">
        <v>23734190</v>
      </c>
      <c r="E27">
        <v>14648742.068</v>
      </c>
      <c r="F27">
        <f t="shared" si="0"/>
        <v>38382932.068000004</v>
      </c>
      <c r="G27">
        <v>32232290</v>
      </c>
      <c r="H27">
        <v>27710099.713</v>
      </c>
      <c r="I27">
        <f t="shared" si="1"/>
        <v>59942389.713</v>
      </c>
      <c r="J27">
        <v>48482069</v>
      </c>
      <c r="K27">
        <v>55191987.349600002</v>
      </c>
      <c r="L27">
        <f t="shared" si="2"/>
        <v>103674056.3496</v>
      </c>
      <c r="M27">
        <v>54536519</v>
      </c>
      <c r="N27">
        <v>69986714.832700014</v>
      </c>
      <c r="O27">
        <f t="shared" si="3"/>
        <v>124523233.83270001</v>
      </c>
      <c r="P27">
        <v>63934399</v>
      </c>
      <c r="Q27">
        <v>96540942.489999995</v>
      </c>
      <c r="R27">
        <f t="shared" si="4"/>
        <v>160475341.49000001</v>
      </c>
      <c r="S27">
        <v>100491600</v>
      </c>
      <c r="T27">
        <v>207505104.84</v>
      </c>
      <c r="U27">
        <f t="shared" si="5"/>
        <v>307996704.84000003</v>
      </c>
      <c r="V27">
        <v>116719990</v>
      </c>
      <c r="W27">
        <v>259842041.73800001</v>
      </c>
      <c r="X27">
        <f t="shared" si="6"/>
        <v>376562031.73800004</v>
      </c>
      <c r="Y27">
        <v>128576113</v>
      </c>
      <c r="Z27">
        <v>299093754.06059998</v>
      </c>
      <c r="AA27">
        <f t="shared" si="7"/>
        <v>427669867.06059998</v>
      </c>
      <c r="AB27">
        <v>153274103</v>
      </c>
      <c r="AC27">
        <v>373314405.26679999</v>
      </c>
      <c r="AD27">
        <f t="shared" si="8"/>
        <v>526588508.26679999</v>
      </c>
      <c r="AE27">
        <v>179258253</v>
      </c>
      <c r="AF27">
        <v>500112600.04470003</v>
      </c>
      <c r="AG27">
        <f t="shared" si="9"/>
        <v>679370853.04470003</v>
      </c>
      <c r="AH27">
        <v>186334603</v>
      </c>
      <c r="AI27">
        <v>541302021.71500003</v>
      </c>
      <c r="AJ27">
        <f>SUM($AH$27+$AI$27)</f>
        <v>727636624.71500003</v>
      </c>
    </row>
    <row r="28" spans="2:36">
      <c r="B28" s="2" t="s">
        <v>64</v>
      </c>
      <c r="C28" t="s">
        <v>63</v>
      </c>
      <c r="D28">
        <v>81891051</v>
      </c>
      <c r="E28">
        <v>100087242.53219999</v>
      </c>
      <c r="F28">
        <f t="shared" si="0"/>
        <v>181978293.53219998</v>
      </c>
      <c r="G28">
        <v>97825641</v>
      </c>
      <c r="H28">
        <v>141299355.86039999</v>
      </c>
      <c r="I28">
        <f t="shared" si="1"/>
        <v>239124996.86039999</v>
      </c>
      <c r="J28">
        <v>106017662</v>
      </c>
      <c r="K28">
        <v>184767581.33360001</v>
      </c>
      <c r="L28">
        <f t="shared" si="2"/>
        <v>290785243.33360004</v>
      </c>
      <c r="M28">
        <v>112235896</v>
      </c>
      <c r="N28">
        <v>204628485.58719999</v>
      </c>
      <c r="O28">
        <f t="shared" si="3"/>
        <v>316864381.58719999</v>
      </c>
      <c r="P28">
        <v>123838016</v>
      </c>
      <c r="Q28">
        <v>248319989.6832</v>
      </c>
      <c r="R28">
        <f t="shared" si="4"/>
        <v>372158005.6832</v>
      </c>
      <c r="S28">
        <v>162630452</v>
      </c>
      <c r="T28">
        <v>405177508.1128</v>
      </c>
      <c r="U28">
        <f t="shared" si="5"/>
        <v>567807960.1128</v>
      </c>
      <c r="V28">
        <v>203826049</v>
      </c>
      <c r="W28">
        <v>548883167.35210001</v>
      </c>
      <c r="X28">
        <f t="shared" si="6"/>
        <v>752709216.35210001</v>
      </c>
      <c r="Y28">
        <v>283835903</v>
      </c>
      <c r="Z28">
        <v>881509163.94709992</v>
      </c>
      <c r="AA28">
        <f t="shared" si="7"/>
        <v>1165345066.9470999</v>
      </c>
      <c r="AB28">
        <v>364660468</v>
      </c>
      <c r="AC28">
        <v>1253848553.1711998</v>
      </c>
      <c r="AD28">
        <f t="shared" si="8"/>
        <v>1618509021.1711998</v>
      </c>
      <c r="AE28">
        <v>404470245</v>
      </c>
      <c r="AF28">
        <v>1580750611.5090001</v>
      </c>
      <c r="AG28">
        <f t="shared" si="9"/>
        <v>1985220856.5090001</v>
      </c>
      <c r="AH28">
        <v>428502855</v>
      </c>
      <c r="AI28">
        <v>1757504459.7824998</v>
      </c>
      <c r="AJ28">
        <f>SUM($AH$28+$AI$28)</f>
        <v>2186007314.7824998</v>
      </c>
    </row>
    <row r="29" spans="2:36">
      <c r="B29" t="s">
        <v>147</v>
      </c>
      <c r="C29" t="s">
        <v>148</v>
      </c>
      <c r="D29">
        <v>68506270</v>
      </c>
      <c r="E29">
        <v>86667282.177000001</v>
      </c>
      <c r="F29">
        <f t="shared" si="0"/>
        <v>155173552.17699999</v>
      </c>
      <c r="G29">
        <v>93880825</v>
      </c>
      <c r="H29">
        <v>152180817.32499999</v>
      </c>
      <c r="I29">
        <f t="shared" si="1"/>
        <v>246061642.32499999</v>
      </c>
      <c r="J29">
        <v>94175645</v>
      </c>
      <c r="K29">
        <v>187089336.35699999</v>
      </c>
      <c r="L29">
        <f t="shared" si="2"/>
        <v>281264981.35699999</v>
      </c>
      <c r="M29">
        <v>100761685</v>
      </c>
      <c r="N29">
        <v>208355012.243</v>
      </c>
      <c r="O29">
        <f t="shared" si="3"/>
        <v>309116697.24300003</v>
      </c>
      <c r="P29">
        <v>105033685</v>
      </c>
      <c r="Q29">
        <v>234781796.08050001</v>
      </c>
      <c r="R29">
        <f t="shared" si="4"/>
        <v>339815481.08050001</v>
      </c>
      <c r="S29">
        <v>138926486</v>
      </c>
      <c r="T29">
        <v>397093574.93379998</v>
      </c>
      <c r="U29">
        <f t="shared" si="5"/>
        <v>536020060.93379998</v>
      </c>
      <c r="V29">
        <v>145211791</v>
      </c>
      <c r="W29">
        <v>428519995.24100006</v>
      </c>
      <c r="X29">
        <f t="shared" si="6"/>
        <v>573731786.24100006</v>
      </c>
      <c r="Y29">
        <v>242430469</v>
      </c>
      <c r="Z29">
        <v>836069958.44029999</v>
      </c>
      <c r="AA29">
        <f t="shared" si="7"/>
        <v>1078500427.4403</v>
      </c>
      <c r="AB29">
        <v>325639269</v>
      </c>
      <c r="AC29">
        <v>1314345217.5378001</v>
      </c>
      <c r="AD29">
        <f t="shared" si="8"/>
        <v>1639984486.5378001</v>
      </c>
      <c r="AE29">
        <v>370223829</v>
      </c>
      <c r="AF29">
        <v>1703288770.0803001</v>
      </c>
      <c r="AG29">
        <f t="shared" si="9"/>
        <v>2073512599.0803001</v>
      </c>
      <c r="AH29">
        <v>382543754</v>
      </c>
      <c r="AI29">
        <v>1797420082.5444</v>
      </c>
      <c r="AJ29">
        <f>SUM($AH$29+$AI$29)</f>
        <v>2179963836.5444002</v>
      </c>
    </row>
    <row r="30" spans="2:36">
      <c r="B30" s="2" t="s">
        <v>52</v>
      </c>
      <c r="C30" s="2" t="s">
        <v>51</v>
      </c>
      <c r="D30">
        <v>47698676</v>
      </c>
      <c r="E30">
        <v>72201485.861200005</v>
      </c>
      <c r="F30">
        <f t="shared" si="0"/>
        <v>119900161.8612</v>
      </c>
      <c r="G30">
        <v>57221661</v>
      </c>
      <c r="H30">
        <v>98323980.096300006</v>
      </c>
      <c r="I30">
        <f t="shared" si="1"/>
        <v>155545641.09630001</v>
      </c>
      <c r="J30">
        <v>65801771</v>
      </c>
      <c r="K30">
        <v>138664072.02829999</v>
      </c>
      <c r="L30">
        <f t="shared" si="2"/>
        <v>204465843.02829999</v>
      </c>
      <c r="M30">
        <v>83377856</v>
      </c>
      <c r="N30">
        <v>206493598.16960001</v>
      </c>
      <c r="O30">
        <f t="shared" si="3"/>
        <v>289871454.16960001</v>
      </c>
      <c r="P30">
        <v>124792161</v>
      </c>
      <c r="Q30">
        <v>368648522.81010002</v>
      </c>
      <c r="R30">
        <f t="shared" si="4"/>
        <v>493440683.81010002</v>
      </c>
      <c r="S30">
        <v>172931681</v>
      </c>
      <c r="T30">
        <v>619043538.47570002</v>
      </c>
      <c r="U30">
        <f t="shared" si="5"/>
        <v>791975219.47570002</v>
      </c>
      <c r="V30">
        <v>226284595</v>
      </c>
      <c r="W30">
        <v>860877113.21800005</v>
      </c>
      <c r="X30">
        <f t="shared" si="6"/>
        <v>1087161708.2179999</v>
      </c>
      <c r="Y30">
        <v>285612368</v>
      </c>
      <c r="Z30">
        <v>1103063526.4528</v>
      </c>
      <c r="AA30">
        <f t="shared" si="7"/>
        <v>1388675894.4528</v>
      </c>
      <c r="AB30">
        <v>403024608</v>
      </c>
      <c r="AC30">
        <v>1938064734.9503999</v>
      </c>
      <c r="AD30">
        <f t="shared" si="8"/>
        <v>2341089342.9503999</v>
      </c>
      <c r="AE30">
        <v>514543050</v>
      </c>
      <c r="AF30">
        <v>2836778743.2600002</v>
      </c>
      <c r="AG30">
        <f t="shared" si="9"/>
        <v>3351321793.2600002</v>
      </c>
      <c r="AH30">
        <v>555700102</v>
      </c>
      <c r="AI30">
        <v>3192385945.9696002</v>
      </c>
      <c r="AJ30">
        <f>SUM($AH$30+$AI$30)</f>
        <v>3748086047.9696002</v>
      </c>
    </row>
    <row r="31" spans="2:36">
      <c r="B31" t="s">
        <v>122</v>
      </c>
      <c r="C31" t="s">
        <v>123</v>
      </c>
      <c r="D31">
        <v>465215851</v>
      </c>
      <c r="E31">
        <v>3513030977.2413998</v>
      </c>
      <c r="F31">
        <f t="shared" si="0"/>
        <v>3978246828.2413998</v>
      </c>
      <c r="G31">
        <v>460920976</v>
      </c>
      <c r="H31">
        <v>3425795154.1199999</v>
      </c>
      <c r="I31">
        <f t="shared" si="1"/>
        <v>3886716130.1199999</v>
      </c>
      <c r="J31">
        <v>468395486</v>
      </c>
      <c r="K31">
        <v>3554981220.0942001</v>
      </c>
      <c r="L31">
        <f t="shared" si="2"/>
        <v>4023376706.0942001</v>
      </c>
      <c r="M31">
        <v>462856736</v>
      </c>
      <c r="N31">
        <v>3539558031.5392003</v>
      </c>
      <c r="O31">
        <f t="shared" si="3"/>
        <v>4002414767.5392003</v>
      </c>
      <c r="P31">
        <v>467656626</v>
      </c>
      <c r="Q31">
        <v>3624432382.8252001</v>
      </c>
      <c r="R31">
        <f t="shared" si="4"/>
        <v>4092089008.8252001</v>
      </c>
      <c r="S31">
        <v>467397501</v>
      </c>
      <c r="T31">
        <v>3431398753.5914998</v>
      </c>
      <c r="U31">
        <f t="shared" si="5"/>
        <v>3898796254.5914998</v>
      </c>
      <c r="V31">
        <v>490101752</v>
      </c>
      <c r="W31">
        <v>3679929004.8920002</v>
      </c>
      <c r="X31">
        <f t="shared" si="6"/>
        <v>4170030756.8920002</v>
      </c>
      <c r="Y31">
        <v>566403572</v>
      </c>
      <c r="Z31">
        <v>4493506098.1048002</v>
      </c>
      <c r="AA31">
        <f t="shared" si="7"/>
        <v>5059909670.1048002</v>
      </c>
      <c r="AB31">
        <v>672254831</v>
      </c>
      <c r="AC31">
        <v>5531648876.8835001</v>
      </c>
      <c r="AD31">
        <f t="shared" si="8"/>
        <v>6203903707.8835001</v>
      </c>
      <c r="AE31">
        <v>770689977</v>
      </c>
      <c r="AF31">
        <v>6548090320.5827999</v>
      </c>
      <c r="AG31">
        <f t="shared" si="9"/>
        <v>7318780297.5827999</v>
      </c>
      <c r="AH31">
        <v>799352047</v>
      </c>
      <c r="AI31">
        <v>6950845659.8931999</v>
      </c>
      <c r="AJ31">
        <f>SUM($AH$31+$AI$31)</f>
        <v>7750197706.8931999</v>
      </c>
    </row>
    <row r="32" spans="2:36">
      <c r="B32" t="s">
        <v>110</v>
      </c>
      <c r="C32" t="s">
        <v>111</v>
      </c>
      <c r="D32">
        <v>94838906</v>
      </c>
      <c r="E32">
        <v>261347573.2642</v>
      </c>
      <c r="F32">
        <f t="shared" si="0"/>
        <v>356186479.26419997</v>
      </c>
      <c r="G32">
        <v>98640246</v>
      </c>
      <c r="H32">
        <v>282180151.73219997</v>
      </c>
      <c r="I32">
        <f t="shared" si="1"/>
        <v>380820397.73219997</v>
      </c>
      <c r="J32">
        <v>100037091</v>
      </c>
      <c r="K32">
        <v>308774485.08060002</v>
      </c>
      <c r="L32">
        <f t="shared" si="2"/>
        <v>408811576.08060002</v>
      </c>
      <c r="M32">
        <v>100368401</v>
      </c>
      <c r="N32">
        <v>310399316.93259996</v>
      </c>
      <c r="O32">
        <f t="shared" si="3"/>
        <v>410767717.93259996</v>
      </c>
      <c r="P32">
        <v>108355401</v>
      </c>
      <c r="Q32">
        <v>340246794.68009996</v>
      </c>
      <c r="R32">
        <f t="shared" si="4"/>
        <v>448602195.68009996</v>
      </c>
      <c r="S32">
        <v>125509245</v>
      </c>
      <c r="T32">
        <v>466078581.3075</v>
      </c>
      <c r="U32">
        <f t="shared" si="5"/>
        <v>591587826.3075</v>
      </c>
      <c r="V32">
        <v>140883164</v>
      </c>
      <c r="W32">
        <v>565378225.44840002</v>
      </c>
      <c r="X32">
        <f t="shared" si="6"/>
        <v>706261389.44840002</v>
      </c>
      <c r="Y32">
        <v>183988839</v>
      </c>
      <c r="Z32">
        <v>802007349.20099998</v>
      </c>
      <c r="AA32">
        <f t="shared" si="7"/>
        <v>985996188.20099998</v>
      </c>
      <c r="AB32">
        <v>258063829</v>
      </c>
      <c r="AC32">
        <v>1264177279.1222999</v>
      </c>
      <c r="AD32">
        <f t="shared" si="8"/>
        <v>1522241108.1222999</v>
      </c>
      <c r="AE32">
        <v>273737060</v>
      </c>
      <c r="AF32">
        <v>1365592071.2220001</v>
      </c>
      <c r="AG32">
        <f t="shared" si="9"/>
        <v>1639329131.2220001</v>
      </c>
      <c r="AH32">
        <v>286354501</v>
      </c>
      <c r="AI32">
        <v>1458890276.2447002</v>
      </c>
      <c r="AJ32">
        <f>SUM($AH$32+$AI$32)</f>
        <v>1745244777.2447002</v>
      </c>
    </row>
    <row r="33" spans="2:36">
      <c r="B33" s="2" t="s">
        <v>40</v>
      </c>
      <c r="C33" t="s">
        <v>39</v>
      </c>
      <c r="D33">
        <v>162941821</v>
      </c>
      <c r="E33">
        <v>503539109.43629998</v>
      </c>
      <c r="F33">
        <f t="shared" si="0"/>
        <v>666480930.43630004</v>
      </c>
      <c r="G33">
        <v>173105151</v>
      </c>
      <c r="H33">
        <v>565084454.92439997</v>
      </c>
      <c r="I33">
        <f t="shared" si="1"/>
        <v>738189605.92439997</v>
      </c>
      <c r="J33">
        <v>176261836</v>
      </c>
      <c r="K33">
        <v>665176916.69679999</v>
      </c>
      <c r="L33">
        <f t="shared" si="2"/>
        <v>841438752.69679999</v>
      </c>
      <c r="M33">
        <v>177155086</v>
      </c>
      <c r="N33">
        <v>676696997.50279999</v>
      </c>
      <c r="O33">
        <f t="shared" si="3"/>
        <v>853852083.50279999</v>
      </c>
      <c r="P33">
        <v>185460481</v>
      </c>
      <c r="Q33">
        <v>736890129.1573</v>
      </c>
      <c r="R33">
        <f t="shared" si="4"/>
        <v>922350610.1573</v>
      </c>
      <c r="S33">
        <v>208664781</v>
      </c>
      <c r="T33">
        <v>916413985.19580007</v>
      </c>
      <c r="U33">
        <f t="shared" si="5"/>
        <v>1125078766.1958001</v>
      </c>
      <c r="V33">
        <v>231824956</v>
      </c>
      <c r="W33">
        <v>1050352510.6447999</v>
      </c>
      <c r="X33">
        <f t="shared" si="6"/>
        <v>1282177466.6447999</v>
      </c>
      <c r="Y33">
        <v>253508383</v>
      </c>
      <c r="Z33">
        <v>1175239512.7496998</v>
      </c>
      <c r="AA33">
        <f t="shared" si="7"/>
        <v>1428747895.7496998</v>
      </c>
      <c r="AB33">
        <v>296092778</v>
      </c>
      <c r="AC33">
        <v>1409993808.836</v>
      </c>
      <c r="AD33">
        <f t="shared" si="8"/>
        <v>1706086586.836</v>
      </c>
      <c r="AE33">
        <v>331251624</v>
      </c>
      <c r="AF33">
        <v>1688720779.152</v>
      </c>
      <c r="AG33">
        <f t="shared" si="9"/>
        <v>2019972403.152</v>
      </c>
      <c r="AH33">
        <v>342208689</v>
      </c>
      <c r="AI33">
        <v>1765454626.5509999</v>
      </c>
      <c r="AJ33">
        <f>SUM($AH$33+$AI$33)</f>
        <v>2107663315.5509999</v>
      </c>
    </row>
    <row r="34" spans="2:36">
      <c r="B34" t="s">
        <v>125</v>
      </c>
      <c r="C34" t="s">
        <v>126</v>
      </c>
      <c r="D34">
        <v>172068084</v>
      </c>
      <c r="E34">
        <v>631575902.32200003</v>
      </c>
      <c r="F34">
        <f t="shared" si="0"/>
        <v>803643986.32200003</v>
      </c>
      <c r="G34">
        <v>181082534</v>
      </c>
      <c r="H34">
        <v>680580595.78559995</v>
      </c>
      <c r="I34">
        <f t="shared" si="1"/>
        <v>861663129.78559995</v>
      </c>
      <c r="J34">
        <v>190361904</v>
      </c>
      <c r="K34">
        <v>786385025.42400002</v>
      </c>
      <c r="L34">
        <f t="shared" si="2"/>
        <v>976746929.42400002</v>
      </c>
      <c r="M34">
        <v>197009159</v>
      </c>
      <c r="N34">
        <v>827852187.0338999</v>
      </c>
      <c r="O34">
        <f t="shared" si="3"/>
        <v>1024861346.0338999</v>
      </c>
      <c r="P34">
        <v>205921759</v>
      </c>
      <c r="Q34">
        <v>877412022.92309999</v>
      </c>
      <c r="R34">
        <f t="shared" si="4"/>
        <v>1083333781.9231</v>
      </c>
      <c r="S34">
        <v>228525350</v>
      </c>
      <c r="T34">
        <v>1063945471.995</v>
      </c>
      <c r="U34">
        <f t="shared" si="5"/>
        <v>1292470821.9949999</v>
      </c>
      <c r="V34">
        <v>237666677</v>
      </c>
      <c r="W34">
        <v>1113872415.0959001</v>
      </c>
      <c r="X34">
        <f t="shared" si="6"/>
        <v>1351539092.0959001</v>
      </c>
      <c r="Y34">
        <v>284272714</v>
      </c>
      <c r="Z34">
        <v>1384038562.6517999</v>
      </c>
      <c r="AA34">
        <f t="shared" si="7"/>
        <v>1668311276.6517999</v>
      </c>
      <c r="AB34">
        <v>297122504</v>
      </c>
      <c r="AC34">
        <v>1458901206.8903999</v>
      </c>
      <c r="AD34">
        <f t="shared" si="8"/>
        <v>1756023710.8903999</v>
      </c>
      <c r="AE34">
        <v>355183770</v>
      </c>
      <c r="AF34">
        <v>1934579440.0589998</v>
      </c>
      <c r="AG34">
        <f t="shared" si="9"/>
        <v>2289763210.059</v>
      </c>
      <c r="AH34">
        <v>362137476</v>
      </c>
      <c r="AI34">
        <v>2005263845.8548</v>
      </c>
      <c r="AJ34">
        <f>SUM($AH$34+$AI$34)</f>
        <v>2367401321.8548002</v>
      </c>
    </row>
    <row r="35" spans="2:36">
      <c r="B35" s="2" t="s">
        <v>23</v>
      </c>
      <c r="C35" t="s">
        <v>18</v>
      </c>
      <c r="D35">
        <v>76496380</v>
      </c>
      <c r="E35">
        <v>154186103.528</v>
      </c>
      <c r="F35">
        <f t="shared" si="0"/>
        <v>230682483.528</v>
      </c>
      <c r="G35">
        <v>93684420</v>
      </c>
      <c r="H35">
        <v>228458826.61200002</v>
      </c>
      <c r="I35">
        <f t="shared" si="1"/>
        <v>322143246.61199999</v>
      </c>
      <c r="J35">
        <v>93591890</v>
      </c>
      <c r="K35">
        <v>273035620.69700003</v>
      </c>
      <c r="L35">
        <f t="shared" si="2"/>
        <v>366627510.69700003</v>
      </c>
      <c r="M35">
        <v>102772450</v>
      </c>
      <c r="N35">
        <v>308944261.94499999</v>
      </c>
      <c r="O35">
        <f t="shared" si="3"/>
        <v>411716711.94499999</v>
      </c>
      <c r="P35">
        <v>119112730</v>
      </c>
      <c r="Q35">
        <v>389689207.46800005</v>
      </c>
      <c r="R35">
        <f t="shared" si="4"/>
        <v>508801937.46800005</v>
      </c>
      <c r="S35">
        <v>152322976</v>
      </c>
      <c r="T35">
        <v>577608724.99199998</v>
      </c>
      <c r="U35">
        <f t="shared" si="5"/>
        <v>729931700.99199998</v>
      </c>
      <c r="V35">
        <v>200644821</v>
      </c>
      <c r="W35">
        <v>806993470.06200004</v>
      </c>
      <c r="X35">
        <f t="shared" si="6"/>
        <v>1007638291.062</v>
      </c>
      <c r="Y35">
        <v>270487038</v>
      </c>
      <c r="Z35">
        <v>1115001668.0436001</v>
      </c>
      <c r="AA35">
        <f t="shared" si="7"/>
        <v>1385488706.0436001</v>
      </c>
      <c r="AB35">
        <v>346409578</v>
      </c>
      <c r="AC35">
        <v>1507331996.7514</v>
      </c>
      <c r="AD35">
        <f t="shared" si="8"/>
        <v>1853741574.7514</v>
      </c>
      <c r="AE35">
        <v>422453459</v>
      </c>
      <c r="AF35">
        <v>2029804379.8032</v>
      </c>
      <c r="AG35">
        <f t="shared" si="9"/>
        <v>2452257838.8031998</v>
      </c>
      <c r="AH35">
        <v>461953285</v>
      </c>
      <c r="AI35">
        <v>2471634856.0639997</v>
      </c>
      <c r="AJ35">
        <f>SUM($AH$35+$AI$35)</f>
        <v>2933588141.0639997</v>
      </c>
    </row>
    <row r="36" spans="2:36">
      <c r="B36" t="s">
        <v>197</v>
      </c>
      <c r="C36" t="s">
        <v>198</v>
      </c>
      <c r="D36">
        <v>232963725</v>
      </c>
      <c r="E36">
        <v>329806745.48249996</v>
      </c>
      <c r="F36">
        <f t="shared" si="0"/>
        <v>562770470.48249996</v>
      </c>
      <c r="G36">
        <v>232963725</v>
      </c>
      <c r="H36">
        <v>329806745.48249996</v>
      </c>
      <c r="I36">
        <f t="shared" si="1"/>
        <v>562770470.48249996</v>
      </c>
      <c r="J36">
        <v>232963725</v>
      </c>
      <c r="K36">
        <v>329806745.48249996</v>
      </c>
      <c r="L36">
        <f t="shared" si="2"/>
        <v>562770470.48249996</v>
      </c>
      <c r="M36">
        <v>232963725</v>
      </c>
      <c r="N36">
        <v>329806745.48249996</v>
      </c>
      <c r="O36">
        <f t="shared" si="3"/>
        <v>562770470.48249996</v>
      </c>
      <c r="P36">
        <v>232963725</v>
      </c>
      <c r="Q36">
        <v>329806745.48249996</v>
      </c>
      <c r="R36">
        <f t="shared" si="4"/>
        <v>562770470.48249996</v>
      </c>
      <c r="S36">
        <v>232963725</v>
      </c>
      <c r="T36">
        <v>329806745.48249996</v>
      </c>
      <c r="U36">
        <f t="shared" si="5"/>
        <v>562770470.48249996</v>
      </c>
      <c r="V36">
        <v>232963725</v>
      </c>
      <c r="W36">
        <v>329806745.48249996</v>
      </c>
      <c r="X36">
        <f t="shared" si="6"/>
        <v>562770470.48249996</v>
      </c>
      <c r="Y36">
        <v>232963725</v>
      </c>
      <c r="Z36">
        <v>329806745.48249996</v>
      </c>
      <c r="AA36">
        <f t="shared" si="7"/>
        <v>562770470.48249996</v>
      </c>
      <c r="AB36">
        <v>232963725</v>
      </c>
      <c r="AC36">
        <v>329806745.48249996</v>
      </c>
      <c r="AD36">
        <f t="shared" si="8"/>
        <v>562770470.48249996</v>
      </c>
      <c r="AE36">
        <v>355683347</v>
      </c>
      <c r="AF36">
        <v>951239543.21679997</v>
      </c>
      <c r="AG36">
        <f t="shared" si="9"/>
        <v>1306922890.2168</v>
      </c>
      <c r="AH36">
        <v>472289823</v>
      </c>
      <c r="AI36">
        <v>2050918556.3775001</v>
      </c>
      <c r="AJ36">
        <f>SUM($AH$36+$AI$36)</f>
        <v>2523208379.3775001</v>
      </c>
    </row>
    <row r="37" spans="2:36">
      <c r="B37" s="2" t="s">
        <v>41</v>
      </c>
      <c r="C37" s="2" t="s">
        <v>42</v>
      </c>
      <c r="D37">
        <v>56820886</v>
      </c>
      <c r="E37">
        <v>67633900.605800003</v>
      </c>
      <c r="F37">
        <f t="shared" si="0"/>
        <v>124454786.6058</v>
      </c>
      <c r="G37">
        <v>70109816</v>
      </c>
      <c r="H37">
        <v>102584682.7712</v>
      </c>
      <c r="I37">
        <f t="shared" si="1"/>
        <v>172694498.7712</v>
      </c>
      <c r="J37">
        <v>68596396</v>
      </c>
      <c r="K37">
        <v>113417281.1464</v>
      </c>
      <c r="L37">
        <f t="shared" si="2"/>
        <v>182013677.1464</v>
      </c>
      <c r="M37">
        <v>70011726</v>
      </c>
      <c r="N37">
        <v>119054940.06300001</v>
      </c>
      <c r="O37">
        <f t="shared" si="3"/>
        <v>189066666.06300002</v>
      </c>
      <c r="P37">
        <v>72559946</v>
      </c>
      <c r="Q37">
        <v>140287399.59639999</v>
      </c>
      <c r="R37">
        <f t="shared" si="4"/>
        <v>212847345.59639999</v>
      </c>
      <c r="S37">
        <v>81969801</v>
      </c>
      <c r="T37">
        <v>175185858.6972</v>
      </c>
      <c r="U37">
        <f t="shared" si="5"/>
        <v>257155659.6972</v>
      </c>
      <c r="V37">
        <v>88173576</v>
      </c>
      <c r="W37">
        <v>196071580.95120001</v>
      </c>
      <c r="X37">
        <f t="shared" si="6"/>
        <v>284245156.95120001</v>
      </c>
      <c r="Y37">
        <v>94981286</v>
      </c>
      <c r="Z37">
        <v>219036343.6446</v>
      </c>
      <c r="AA37">
        <f t="shared" si="7"/>
        <v>314017629.64460003</v>
      </c>
      <c r="AB37">
        <v>97904311</v>
      </c>
      <c r="AC37">
        <v>227275067.55539998</v>
      </c>
      <c r="AD37">
        <f t="shared" si="8"/>
        <v>325179378.55540001</v>
      </c>
      <c r="AE37">
        <v>92948701</v>
      </c>
      <c r="AF37">
        <v>229313740.23710001</v>
      </c>
      <c r="AG37">
        <f t="shared" si="9"/>
        <v>322262441.23710001</v>
      </c>
      <c r="AH37">
        <v>93701001</v>
      </c>
      <c r="AI37">
        <v>233980769.59710002</v>
      </c>
      <c r="AJ37">
        <f>SUM($AH$37+$AI$37)</f>
        <v>327681770.59710002</v>
      </c>
    </row>
    <row r="38" spans="2:36">
      <c r="B38" t="s">
        <v>144</v>
      </c>
      <c r="C38" t="s">
        <v>150</v>
      </c>
      <c r="D38">
        <v>97737666</v>
      </c>
      <c r="E38">
        <v>321136649.17619997</v>
      </c>
      <c r="F38">
        <f t="shared" si="0"/>
        <v>418874315.17619997</v>
      </c>
      <c r="G38">
        <v>100648646</v>
      </c>
      <c r="H38">
        <v>337293742.4752</v>
      </c>
      <c r="I38">
        <f t="shared" si="1"/>
        <v>437942388.4752</v>
      </c>
      <c r="J38">
        <v>96192016</v>
      </c>
      <c r="K38">
        <v>357641915.48800004</v>
      </c>
      <c r="L38">
        <f t="shared" si="2"/>
        <v>453833931.48800004</v>
      </c>
      <c r="M38">
        <v>105340501</v>
      </c>
      <c r="N38">
        <v>399883075.84610003</v>
      </c>
      <c r="O38">
        <f t="shared" si="3"/>
        <v>505223576.84610003</v>
      </c>
      <c r="P38">
        <v>115579046</v>
      </c>
      <c r="Q38">
        <v>456502557.98620003</v>
      </c>
      <c r="R38">
        <f t="shared" si="4"/>
        <v>572081603.98620009</v>
      </c>
      <c r="S38">
        <v>145184346</v>
      </c>
      <c r="T38">
        <v>608032041.04799998</v>
      </c>
      <c r="U38">
        <f t="shared" si="5"/>
        <v>753216387.04799998</v>
      </c>
      <c r="V38">
        <v>161341676</v>
      </c>
      <c r="W38">
        <v>691671765.01199996</v>
      </c>
      <c r="X38">
        <f t="shared" si="6"/>
        <v>853013441.01199996</v>
      </c>
      <c r="Y38">
        <v>219835096</v>
      </c>
      <c r="Z38">
        <v>970308146.72479999</v>
      </c>
      <c r="AA38">
        <f t="shared" si="7"/>
        <v>1190143242.7248001</v>
      </c>
      <c r="AB38">
        <v>245953355</v>
      </c>
      <c r="AC38">
        <v>1094664597.0985</v>
      </c>
      <c r="AD38">
        <f t="shared" si="8"/>
        <v>1340617952.0985</v>
      </c>
      <c r="AE38">
        <v>290561936</v>
      </c>
      <c r="AF38">
        <v>1398532710.3552001</v>
      </c>
      <c r="AG38">
        <f t="shared" si="9"/>
        <v>1689094646.3552001</v>
      </c>
      <c r="AH38">
        <v>309568152</v>
      </c>
      <c r="AI38">
        <v>1512333292.9656</v>
      </c>
      <c r="AJ38">
        <f>SUM($AH$38+$AI$38)</f>
        <v>1821901444.9656</v>
      </c>
    </row>
    <row r="39" spans="2:36">
      <c r="B39" s="2" t="s">
        <v>21</v>
      </c>
      <c r="C39" t="s">
        <v>19</v>
      </c>
      <c r="D39">
        <v>43003466</v>
      </c>
      <c r="E39">
        <v>43227084.023199998</v>
      </c>
      <c r="F39">
        <f t="shared" si="0"/>
        <v>86230550.023200005</v>
      </c>
      <c r="G39">
        <v>44462466</v>
      </c>
      <c r="H39">
        <v>45249451.648199998</v>
      </c>
      <c r="I39">
        <f t="shared" si="1"/>
        <v>89711917.648200005</v>
      </c>
      <c r="J39">
        <v>47165296</v>
      </c>
      <c r="K39">
        <v>50811173.380800001</v>
      </c>
      <c r="L39">
        <f t="shared" si="2"/>
        <v>97976469.380800009</v>
      </c>
      <c r="M39">
        <v>48477796</v>
      </c>
      <c r="N39">
        <v>53548573.461599998</v>
      </c>
      <c r="O39">
        <f t="shared" si="3"/>
        <v>102026369.46160001</v>
      </c>
      <c r="P39">
        <v>51628201</v>
      </c>
      <c r="Q39">
        <v>58515403.013400003</v>
      </c>
      <c r="R39">
        <f t="shared" si="4"/>
        <v>110143604.0134</v>
      </c>
      <c r="S39">
        <v>73083046</v>
      </c>
      <c r="T39">
        <v>123042616.24560001</v>
      </c>
      <c r="U39">
        <f t="shared" si="5"/>
        <v>196125662.24560001</v>
      </c>
      <c r="V39">
        <v>80441231</v>
      </c>
      <c r="W39">
        <v>146362819.80449998</v>
      </c>
      <c r="X39">
        <f t="shared" si="6"/>
        <v>226804050.80449998</v>
      </c>
      <c r="Y39">
        <v>97480604</v>
      </c>
      <c r="Z39">
        <v>194376324.37600002</v>
      </c>
      <c r="AA39">
        <f t="shared" si="7"/>
        <v>291856928.37600005</v>
      </c>
      <c r="AB39">
        <v>114730094</v>
      </c>
      <c r="AC39">
        <v>238455027.3696</v>
      </c>
      <c r="AD39">
        <f t="shared" si="8"/>
        <v>353185121.3696</v>
      </c>
      <c r="AE39">
        <v>148779924</v>
      </c>
      <c r="AF39">
        <v>344842107.84719998</v>
      </c>
      <c r="AG39">
        <f t="shared" si="9"/>
        <v>493622031.84719998</v>
      </c>
      <c r="AH39">
        <v>151778434</v>
      </c>
      <c r="AI39">
        <v>354766911.63160002</v>
      </c>
      <c r="AJ39">
        <f>SUM($AH$39+$AI$39)</f>
        <v>506545345.63160002</v>
      </c>
    </row>
    <row r="40" spans="2:36">
      <c r="B40" t="s">
        <v>119</v>
      </c>
      <c r="C40" t="s">
        <v>120</v>
      </c>
      <c r="D40">
        <v>49565241</v>
      </c>
      <c r="E40">
        <v>49208371.264799997</v>
      </c>
      <c r="F40">
        <f t="shared" si="0"/>
        <v>98773612.264799997</v>
      </c>
      <c r="G40">
        <v>51551241</v>
      </c>
      <c r="H40">
        <v>53499877.9098</v>
      </c>
      <c r="I40">
        <f t="shared" si="1"/>
        <v>105051118.90979999</v>
      </c>
      <c r="J40">
        <v>63306456</v>
      </c>
      <c r="K40">
        <v>83108715.436800003</v>
      </c>
      <c r="L40">
        <f t="shared" si="2"/>
        <v>146415171.4368</v>
      </c>
      <c r="M40">
        <v>63306456</v>
      </c>
      <c r="N40">
        <v>83108715.436800003</v>
      </c>
      <c r="O40">
        <f t="shared" si="3"/>
        <v>146415171.4368</v>
      </c>
      <c r="P40">
        <v>64747006</v>
      </c>
      <c r="Q40">
        <v>96440665.436999992</v>
      </c>
      <c r="R40">
        <f t="shared" si="4"/>
        <v>161187671.43699998</v>
      </c>
      <c r="S40">
        <v>80245986</v>
      </c>
      <c r="T40">
        <v>140783557.83840001</v>
      </c>
      <c r="U40">
        <f t="shared" si="5"/>
        <v>221029543.83840001</v>
      </c>
      <c r="V40">
        <v>92260046</v>
      </c>
      <c r="W40">
        <v>179371981.4332</v>
      </c>
      <c r="X40">
        <f t="shared" si="6"/>
        <v>271632027.4332</v>
      </c>
      <c r="Y40">
        <v>158238974</v>
      </c>
      <c r="Z40">
        <v>365959275.16980004</v>
      </c>
      <c r="AA40">
        <f t="shared" si="7"/>
        <v>524198249.16980004</v>
      </c>
      <c r="AB40">
        <v>195016409</v>
      </c>
      <c r="AC40">
        <v>525959255.07299995</v>
      </c>
      <c r="AD40">
        <f t="shared" si="8"/>
        <v>720975664.07299995</v>
      </c>
      <c r="AE40">
        <v>222907328</v>
      </c>
      <c r="AF40">
        <v>669680485.51040006</v>
      </c>
      <c r="AG40">
        <f t="shared" si="9"/>
        <v>892587813.51040006</v>
      </c>
      <c r="AH40">
        <v>245079418</v>
      </c>
      <c r="AI40">
        <v>795674838.47880006</v>
      </c>
      <c r="AJ40">
        <f>SUM($AH$40+$AI$40)</f>
        <v>1040754256.4788001</v>
      </c>
    </row>
    <row r="41" spans="2:36">
      <c r="B41" s="2" t="s">
        <v>16</v>
      </c>
      <c r="C41" t="s">
        <v>13</v>
      </c>
      <c r="D41">
        <v>45791945</v>
      </c>
      <c r="E41">
        <v>59868388.893000007</v>
      </c>
      <c r="F41">
        <f t="shared" si="0"/>
        <v>105660333.89300001</v>
      </c>
      <c r="G41">
        <v>49017690</v>
      </c>
      <c r="H41">
        <v>72320699.82599999</v>
      </c>
      <c r="I41">
        <f t="shared" si="1"/>
        <v>121338389.82599999</v>
      </c>
      <c r="J41">
        <v>40919075</v>
      </c>
      <c r="K41">
        <v>69296453.512500003</v>
      </c>
      <c r="L41">
        <f t="shared" si="2"/>
        <v>110215528.5125</v>
      </c>
      <c r="M41">
        <v>42105100</v>
      </c>
      <c r="N41">
        <v>72631297.5</v>
      </c>
      <c r="O41">
        <f t="shared" si="3"/>
        <v>114736397.5</v>
      </c>
      <c r="P41">
        <v>48506565</v>
      </c>
      <c r="Q41">
        <v>92288590.568999991</v>
      </c>
      <c r="R41">
        <f t="shared" si="4"/>
        <v>140795155.56900001</v>
      </c>
      <c r="S41">
        <v>59611695</v>
      </c>
      <c r="T41">
        <v>119610866.0175</v>
      </c>
      <c r="U41">
        <f t="shared" si="5"/>
        <v>179222561.01749998</v>
      </c>
      <c r="V41">
        <v>66174585</v>
      </c>
      <c r="W41">
        <v>136187295.93000001</v>
      </c>
      <c r="X41">
        <f t="shared" si="6"/>
        <v>202361880.93000001</v>
      </c>
      <c r="Y41">
        <v>101207112</v>
      </c>
      <c r="Z41">
        <v>215156199.40079999</v>
      </c>
      <c r="AA41">
        <f t="shared" si="7"/>
        <v>316363311.40079999</v>
      </c>
      <c r="AB41">
        <v>161904345</v>
      </c>
      <c r="AC41">
        <v>382677109.84200001</v>
      </c>
      <c r="AD41">
        <f t="shared" si="8"/>
        <v>544581454.84200001</v>
      </c>
      <c r="AE41">
        <v>196952731</v>
      </c>
      <c r="AF41">
        <v>530689133.67949998</v>
      </c>
      <c r="AG41">
        <f t="shared" si="9"/>
        <v>727641864.67949998</v>
      </c>
      <c r="AH41">
        <v>209162513</v>
      </c>
      <c r="AI41">
        <v>585111213.86619997</v>
      </c>
      <c r="AJ41">
        <f>SUM($AH$41+$AI$41)</f>
        <v>794273726.86619997</v>
      </c>
    </row>
    <row r="42" spans="2:36">
      <c r="B42" t="s">
        <v>58</v>
      </c>
      <c r="C42" s="2" t="s">
        <v>57</v>
      </c>
      <c r="D42">
        <v>57688305</v>
      </c>
      <c r="E42">
        <v>79015671.358500004</v>
      </c>
      <c r="F42">
        <f t="shared" si="0"/>
        <v>136703976.3585</v>
      </c>
      <c r="G42">
        <v>64822400</v>
      </c>
      <c r="H42">
        <v>98711550.719999999</v>
      </c>
      <c r="I42">
        <f t="shared" si="1"/>
        <v>163533950.72</v>
      </c>
      <c r="J42">
        <v>62373725</v>
      </c>
      <c r="K42">
        <v>106546797.045</v>
      </c>
      <c r="L42">
        <f t="shared" si="2"/>
        <v>168920522.04500002</v>
      </c>
      <c r="M42">
        <v>62812225</v>
      </c>
      <c r="N42">
        <v>108238026.11999999</v>
      </c>
      <c r="O42">
        <f t="shared" si="3"/>
        <v>171050251.12</v>
      </c>
      <c r="P42">
        <v>73849225</v>
      </c>
      <c r="Q42">
        <v>141288337.26999998</v>
      </c>
      <c r="R42">
        <f t="shared" si="4"/>
        <v>215137562.26999998</v>
      </c>
      <c r="S42">
        <v>91360730</v>
      </c>
      <c r="T42">
        <v>202501058.04500002</v>
      </c>
      <c r="U42">
        <f t="shared" si="5"/>
        <v>293861788.04500002</v>
      </c>
      <c r="V42">
        <v>78820470</v>
      </c>
      <c r="W42">
        <v>172766588.19299999</v>
      </c>
      <c r="X42">
        <f t="shared" si="6"/>
        <v>251587058.19299999</v>
      </c>
      <c r="Y42">
        <v>105166893</v>
      </c>
      <c r="Z42">
        <v>248835385.5273</v>
      </c>
      <c r="AA42">
        <f t="shared" si="7"/>
        <v>354002278.5273</v>
      </c>
      <c r="AB42">
        <v>208037068</v>
      </c>
      <c r="AC42">
        <v>575284904.14039993</v>
      </c>
      <c r="AD42">
        <f t="shared" si="8"/>
        <v>783321972.14039993</v>
      </c>
      <c r="AE42">
        <v>299598469</v>
      </c>
      <c r="AF42">
        <v>960183133.29809999</v>
      </c>
      <c r="AG42">
        <f t="shared" si="9"/>
        <v>1259781602.2981</v>
      </c>
      <c r="AH42">
        <v>300720844</v>
      </c>
      <c r="AI42">
        <v>971298254.03560007</v>
      </c>
      <c r="AJ42">
        <f>SUM($AH$42+$AI$42)</f>
        <v>1272019098.0356002</v>
      </c>
    </row>
    <row r="43" spans="2:36">
      <c r="B43" t="s">
        <v>151</v>
      </c>
      <c r="C43" t="s">
        <v>145</v>
      </c>
      <c r="D43">
        <v>17987575</v>
      </c>
      <c r="E43">
        <v>7047531.8849999998</v>
      </c>
      <c r="F43">
        <f t="shared" si="0"/>
        <v>25035106.884999998</v>
      </c>
      <c r="G43">
        <v>24662120</v>
      </c>
      <c r="H43">
        <v>14015482.796</v>
      </c>
      <c r="I43">
        <f t="shared" si="1"/>
        <v>38677602.796000004</v>
      </c>
      <c r="J43">
        <v>37466065</v>
      </c>
      <c r="K43">
        <v>33625793.337499999</v>
      </c>
      <c r="L43">
        <f t="shared" si="2"/>
        <v>71091858.337500006</v>
      </c>
      <c r="M43">
        <v>38949680</v>
      </c>
      <c r="N43">
        <v>35541583</v>
      </c>
      <c r="O43">
        <f t="shared" si="3"/>
        <v>74491263</v>
      </c>
      <c r="P43">
        <v>57556360</v>
      </c>
      <c r="Q43">
        <v>55110214.700000003</v>
      </c>
      <c r="R43">
        <f t="shared" si="4"/>
        <v>112666574.7</v>
      </c>
      <c r="S43">
        <v>74634197</v>
      </c>
      <c r="T43">
        <v>88807231.010299996</v>
      </c>
      <c r="U43">
        <f t="shared" si="5"/>
        <v>163441428.01029998</v>
      </c>
      <c r="V43">
        <v>82426798</v>
      </c>
      <c r="W43">
        <v>110649733.63520001</v>
      </c>
      <c r="X43">
        <f t="shared" si="6"/>
        <v>193076531.63520002</v>
      </c>
      <c r="Y43">
        <v>143702874</v>
      </c>
      <c r="Z43">
        <v>246996499.8312</v>
      </c>
      <c r="AA43">
        <f t="shared" si="7"/>
        <v>390699373.8312</v>
      </c>
      <c r="AB43">
        <v>183361543</v>
      </c>
      <c r="AC43">
        <v>336505103.71360004</v>
      </c>
      <c r="AD43">
        <f t="shared" si="8"/>
        <v>519866646.71360004</v>
      </c>
      <c r="AE43">
        <v>211955458</v>
      </c>
      <c r="AF43">
        <v>429421757.90799999</v>
      </c>
      <c r="AG43">
        <f t="shared" si="9"/>
        <v>641377215.90799999</v>
      </c>
      <c r="AH43">
        <v>226707996</v>
      </c>
      <c r="AI43">
        <v>527640189.89039999</v>
      </c>
      <c r="AJ43">
        <f>SUM($AH$43+$AI$43)</f>
        <v>754348185.89039993</v>
      </c>
    </row>
    <row r="44" spans="2:36">
      <c r="B44" s="2" t="s">
        <v>62</v>
      </c>
      <c r="C44" t="s">
        <v>61</v>
      </c>
      <c r="D44">
        <v>9221571</v>
      </c>
      <c r="E44">
        <v>2750794.6292999997</v>
      </c>
      <c r="F44">
        <f t="shared" si="0"/>
        <v>11972365.6293</v>
      </c>
      <c r="G44">
        <v>21994581</v>
      </c>
      <c r="H44">
        <v>10361647.109099999</v>
      </c>
      <c r="I44">
        <f t="shared" si="1"/>
        <v>32356228.109099999</v>
      </c>
      <c r="J44">
        <v>20183871</v>
      </c>
      <c r="K44">
        <v>16094618.735399999</v>
      </c>
      <c r="L44">
        <f t="shared" si="2"/>
        <v>36278489.735399999</v>
      </c>
      <c r="M44">
        <v>21684496</v>
      </c>
      <c r="N44">
        <v>18071858.966400001</v>
      </c>
      <c r="O44">
        <f t="shared" si="3"/>
        <v>39756354.966399997</v>
      </c>
      <c r="P44">
        <v>28847361</v>
      </c>
      <c r="Q44">
        <v>29666626.0524</v>
      </c>
      <c r="R44">
        <f t="shared" si="4"/>
        <v>58513987.0524</v>
      </c>
      <c r="S44">
        <v>51384956</v>
      </c>
      <c r="T44">
        <v>74631510.094400004</v>
      </c>
      <c r="U44">
        <f t="shared" si="5"/>
        <v>126016466.0944</v>
      </c>
      <c r="V44">
        <v>60932841</v>
      </c>
      <c r="W44">
        <v>94141239.344999999</v>
      </c>
      <c r="X44">
        <f t="shared" si="6"/>
        <v>155074080.345</v>
      </c>
      <c r="Y44">
        <v>102725303</v>
      </c>
      <c r="Z44">
        <v>166127360.01159999</v>
      </c>
      <c r="AA44">
        <f t="shared" si="7"/>
        <v>268852663.01160002</v>
      </c>
      <c r="AB44">
        <v>112151993</v>
      </c>
      <c r="AC44">
        <v>177245009.73719999</v>
      </c>
      <c r="AD44">
        <f t="shared" si="8"/>
        <v>289397002.73720002</v>
      </c>
      <c r="AE44">
        <v>142133999</v>
      </c>
      <c r="AF44">
        <v>287920841.77429998</v>
      </c>
      <c r="AG44">
        <f t="shared" si="9"/>
        <v>430054840.77429998</v>
      </c>
      <c r="AH44">
        <v>143915205</v>
      </c>
      <c r="AI44">
        <v>303905738.39849997</v>
      </c>
      <c r="AJ44">
        <f>SUM($AH$44+$AI$44)</f>
        <v>447820943.39849997</v>
      </c>
    </row>
    <row r="45" spans="2:36">
      <c r="B45" s="2" t="s">
        <v>93</v>
      </c>
      <c r="C45" t="s">
        <v>91</v>
      </c>
      <c r="D45">
        <v>115755846</v>
      </c>
      <c r="E45">
        <v>362686216.68720001</v>
      </c>
      <c r="F45">
        <f t="shared" si="0"/>
        <v>478442062.68720001</v>
      </c>
      <c r="G45">
        <v>115755846</v>
      </c>
      <c r="H45">
        <v>362686216.68720001</v>
      </c>
      <c r="I45">
        <f t="shared" si="1"/>
        <v>478442062.68720001</v>
      </c>
      <c r="J45">
        <v>113320246</v>
      </c>
      <c r="K45">
        <v>392292027.60280001</v>
      </c>
      <c r="L45">
        <f t="shared" si="2"/>
        <v>505612273.60280001</v>
      </c>
      <c r="M45">
        <v>117317246</v>
      </c>
      <c r="N45">
        <v>415514221.88279998</v>
      </c>
      <c r="O45">
        <f t="shared" si="3"/>
        <v>532831467.88279998</v>
      </c>
      <c r="P45">
        <v>128801931</v>
      </c>
      <c r="Q45">
        <v>488378281.77270001</v>
      </c>
      <c r="R45">
        <f t="shared" si="4"/>
        <v>617180212.77270007</v>
      </c>
      <c r="S45">
        <v>170173661</v>
      </c>
      <c r="T45">
        <v>760472056.27680004</v>
      </c>
      <c r="U45">
        <f t="shared" si="5"/>
        <v>930645717.27680004</v>
      </c>
      <c r="V45">
        <v>195413661</v>
      </c>
      <c r="W45">
        <v>898375223.71530008</v>
      </c>
      <c r="X45">
        <f t="shared" si="6"/>
        <v>1093788884.7153001</v>
      </c>
      <c r="Y45">
        <v>232878428</v>
      </c>
      <c r="Z45">
        <v>1097928636.6487999</v>
      </c>
      <c r="AA45">
        <f t="shared" si="7"/>
        <v>1330807064.6487999</v>
      </c>
      <c r="AB45">
        <v>322819448</v>
      </c>
      <c r="AC45">
        <v>1558120347.7168</v>
      </c>
      <c r="AD45">
        <f t="shared" si="8"/>
        <v>1880939795.7168</v>
      </c>
      <c r="AE45">
        <v>342902579</v>
      </c>
      <c r="AF45">
        <v>1822184304.806</v>
      </c>
      <c r="AG45">
        <f t="shared" si="9"/>
        <v>2165086883.8059998</v>
      </c>
      <c r="AH45">
        <v>359026095</v>
      </c>
      <c r="AI45">
        <v>2025445714.9424999</v>
      </c>
      <c r="AJ45">
        <f>SUM($AH$45+$AI$45)</f>
        <v>2384471809.9425001</v>
      </c>
    </row>
    <row r="46" spans="2:36">
      <c r="B46" t="s">
        <v>107</v>
      </c>
      <c r="C46" t="s">
        <v>108</v>
      </c>
      <c r="D46">
        <v>119280906</v>
      </c>
      <c r="E46">
        <v>334523300.87699997</v>
      </c>
      <c r="F46">
        <f t="shared" si="0"/>
        <v>453804206.87699997</v>
      </c>
      <c r="G46">
        <v>122905136</v>
      </c>
      <c r="H46">
        <v>346973489.44160002</v>
      </c>
      <c r="I46">
        <f t="shared" si="1"/>
        <v>469878625.44160002</v>
      </c>
      <c r="J46">
        <v>126512386</v>
      </c>
      <c r="K46">
        <v>393984872.48120004</v>
      </c>
      <c r="L46">
        <f t="shared" si="2"/>
        <v>520497258.48120004</v>
      </c>
      <c r="M46">
        <v>138047601</v>
      </c>
      <c r="N46">
        <v>461368887.30209994</v>
      </c>
      <c r="O46">
        <f t="shared" si="3"/>
        <v>599416488.30209994</v>
      </c>
      <c r="P46">
        <v>175970411</v>
      </c>
      <c r="Q46">
        <v>655155437.19410002</v>
      </c>
      <c r="R46">
        <f t="shared" si="4"/>
        <v>831125848.19410002</v>
      </c>
      <c r="S46">
        <v>256360514</v>
      </c>
      <c r="T46">
        <v>1144239518.1875999</v>
      </c>
      <c r="U46">
        <f t="shared" si="5"/>
        <v>1400600032.1875999</v>
      </c>
      <c r="V46">
        <v>290005884</v>
      </c>
      <c r="W46">
        <v>1349165373.5448</v>
      </c>
      <c r="X46">
        <f t="shared" si="6"/>
        <v>1639171257.5448</v>
      </c>
      <c r="Y46">
        <v>359152717</v>
      </c>
      <c r="Z46">
        <v>1774789066.3272002</v>
      </c>
      <c r="AA46">
        <f t="shared" si="7"/>
        <v>2133941783.3272002</v>
      </c>
      <c r="AB46">
        <v>497357157</v>
      </c>
      <c r="AC46">
        <v>2598939823.9034996</v>
      </c>
      <c r="AD46">
        <f t="shared" si="8"/>
        <v>3096296980.9034996</v>
      </c>
      <c r="AE46">
        <v>582363053</v>
      </c>
      <c r="AF46">
        <v>3291166557.7241998</v>
      </c>
      <c r="AG46">
        <f t="shared" si="9"/>
        <v>3873529610.7241998</v>
      </c>
      <c r="AH46">
        <v>602874133</v>
      </c>
      <c r="AI46">
        <v>3532058683.0071001</v>
      </c>
      <c r="AJ46">
        <f>SUM($AH$46+$AI$46)</f>
        <v>4134932816.0071001</v>
      </c>
    </row>
    <row r="47" spans="2:36">
      <c r="B47" s="2" t="s">
        <v>14</v>
      </c>
      <c r="C47" t="s">
        <v>12</v>
      </c>
      <c r="D47">
        <v>94358075</v>
      </c>
      <c r="E47">
        <v>170986267.70750001</v>
      </c>
      <c r="F47">
        <f t="shared" si="0"/>
        <v>265344342.70750001</v>
      </c>
      <c r="G47">
        <v>101224445</v>
      </c>
      <c r="H47">
        <v>204807419.56850001</v>
      </c>
      <c r="I47">
        <f t="shared" si="1"/>
        <v>306031864.56850004</v>
      </c>
      <c r="J47">
        <v>93534895</v>
      </c>
      <c r="K47">
        <v>204121201.3585</v>
      </c>
      <c r="L47">
        <f t="shared" si="2"/>
        <v>297656096.3585</v>
      </c>
      <c r="M47">
        <v>93534895</v>
      </c>
      <c r="N47">
        <v>204121201.3585</v>
      </c>
      <c r="O47">
        <f t="shared" si="3"/>
        <v>297656096.3585</v>
      </c>
      <c r="P47">
        <v>94766895</v>
      </c>
      <c r="Q47">
        <v>207757463.90849999</v>
      </c>
      <c r="R47">
        <f t="shared" si="4"/>
        <v>302524358.90849996</v>
      </c>
      <c r="S47">
        <v>91385070</v>
      </c>
      <c r="T47">
        <v>210907603.053</v>
      </c>
      <c r="U47">
        <f t="shared" si="5"/>
        <v>302292673.05299997</v>
      </c>
      <c r="V47">
        <v>110299900</v>
      </c>
      <c r="W47">
        <v>284937731.66999996</v>
      </c>
      <c r="X47">
        <f t="shared" si="6"/>
        <v>395237631.66999996</v>
      </c>
      <c r="Y47">
        <v>142436140</v>
      </c>
      <c r="Z47">
        <v>383067754.91600001</v>
      </c>
      <c r="AA47">
        <f t="shared" si="7"/>
        <v>525503894.91600001</v>
      </c>
      <c r="AB47">
        <v>151852540</v>
      </c>
      <c r="AC47">
        <v>413099649.81600004</v>
      </c>
      <c r="AD47">
        <f t="shared" si="8"/>
        <v>564952189.81599998</v>
      </c>
      <c r="AE47">
        <v>164254501</v>
      </c>
      <c r="AF47">
        <v>515759133.13999999</v>
      </c>
      <c r="AG47">
        <f t="shared" si="9"/>
        <v>680013634.13999999</v>
      </c>
      <c r="AH47">
        <v>171756721</v>
      </c>
      <c r="AI47">
        <v>544468805.57000005</v>
      </c>
      <c r="AJ47">
        <f>SUM($AH$47+$AI$47)</f>
        <v>716225526.57000005</v>
      </c>
    </row>
    <row r="48" spans="2:36">
      <c r="B48" s="2" t="s">
        <v>29</v>
      </c>
      <c r="C48" t="s">
        <v>27</v>
      </c>
      <c r="D48">
        <v>157234429</v>
      </c>
      <c r="E48">
        <v>409407006.23019999</v>
      </c>
      <c r="F48">
        <f t="shared" si="0"/>
        <v>566641435.23020005</v>
      </c>
      <c r="G48">
        <v>176005164</v>
      </c>
      <c r="H48">
        <v>494257701.54479998</v>
      </c>
      <c r="I48">
        <f t="shared" si="1"/>
        <v>670262865.54480004</v>
      </c>
      <c r="J48">
        <v>195776192</v>
      </c>
      <c r="K48">
        <v>654088257.472</v>
      </c>
      <c r="L48">
        <f t="shared" si="2"/>
        <v>849864449.472</v>
      </c>
      <c r="M48">
        <v>201416047</v>
      </c>
      <c r="N48">
        <v>694482530.05599999</v>
      </c>
      <c r="O48">
        <f t="shared" si="3"/>
        <v>895898577.05599999</v>
      </c>
      <c r="P48">
        <v>212443732</v>
      </c>
      <c r="Q48">
        <v>755110001.02079999</v>
      </c>
      <c r="R48">
        <f t="shared" si="4"/>
        <v>967553733.02079999</v>
      </c>
      <c r="S48">
        <v>270038057</v>
      </c>
      <c r="T48">
        <v>1151226244.6024001</v>
      </c>
      <c r="U48">
        <f t="shared" si="5"/>
        <v>1421264301.6024001</v>
      </c>
      <c r="V48">
        <v>312022282</v>
      </c>
      <c r="W48">
        <v>1409467052.2504001</v>
      </c>
      <c r="X48">
        <f t="shared" si="6"/>
        <v>1721489334.2504001</v>
      </c>
      <c r="Y48">
        <v>363581775</v>
      </c>
      <c r="Z48">
        <v>1690473462.8625</v>
      </c>
      <c r="AA48">
        <f t="shared" si="7"/>
        <v>2054055237.8625</v>
      </c>
      <c r="AB48">
        <v>441374735</v>
      </c>
      <c r="AC48">
        <v>2208815723.8340001</v>
      </c>
      <c r="AD48">
        <f t="shared" si="8"/>
        <v>2650190458.8340001</v>
      </c>
      <c r="AE48">
        <v>482845181</v>
      </c>
      <c r="AF48">
        <v>2604128914.6873002</v>
      </c>
      <c r="AG48">
        <f t="shared" si="9"/>
        <v>3086974095.6873002</v>
      </c>
      <c r="AH48">
        <v>502359794</v>
      </c>
      <c r="AI48">
        <v>2827883752.3848</v>
      </c>
      <c r="AJ48">
        <f>SUM($AH$48+$AI$48)</f>
        <v>3330243546.3848</v>
      </c>
    </row>
    <row r="49" spans="2:36">
      <c r="B49" t="s">
        <v>228</v>
      </c>
      <c r="C49" t="s">
        <v>222</v>
      </c>
      <c r="D49">
        <v>487303023</v>
      </c>
      <c r="E49">
        <v>2179365309.7628999</v>
      </c>
      <c r="F49">
        <f t="shared" si="0"/>
        <v>2666668332.7628999</v>
      </c>
      <c r="G49">
        <v>487303023</v>
      </c>
      <c r="H49">
        <v>2179365309.7628999</v>
      </c>
      <c r="I49">
        <f t="shared" si="1"/>
        <v>2666668332.7628999</v>
      </c>
      <c r="J49">
        <v>487303023</v>
      </c>
      <c r="K49">
        <v>2179365309.7628999</v>
      </c>
      <c r="L49">
        <f t="shared" si="2"/>
        <v>2666668332.7628999</v>
      </c>
      <c r="M49">
        <v>487303023</v>
      </c>
      <c r="N49">
        <v>2179365309.7628999</v>
      </c>
      <c r="O49">
        <f t="shared" si="3"/>
        <v>2666668332.7628999</v>
      </c>
      <c r="P49">
        <v>487303023</v>
      </c>
      <c r="Q49">
        <v>2179365309.7628999</v>
      </c>
      <c r="R49">
        <f t="shared" si="4"/>
        <v>2666668332.7628999</v>
      </c>
      <c r="S49">
        <v>487303023</v>
      </c>
      <c r="T49">
        <v>2179365309.7628999</v>
      </c>
      <c r="U49">
        <f t="shared" si="5"/>
        <v>2666668332.7628999</v>
      </c>
      <c r="V49">
        <v>487303023</v>
      </c>
      <c r="W49">
        <v>2179365309.7628999</v>
      </c>
      <c r="X49">
        <f t="shared" si="6"/>
        <v>2666668332.7628999</v>
      </c>
      <c r="Y49">
        <v>487303023</v>
      </c>
      <c r="Z49">
        <v>2179365309.7628999</v>
      </c>
      <c r="AA49">
        <f t="shared" si="7"/>
        <v>2666668332.7628999</v>
      </c>
      <c r="AB49">
        <v>487303023</v>
      </c>
      <c r="AC49">
        <v>2179365309.7628999</v>
      </c>
      <c r="AD49">
        <f t="shared" si="8"/>
        <v>2666668332.7628999</v>
      </c>
      <c r="AE49">
        <v>544774689</v>
      </c>
      <c r="AF49">
        <v>2544261230.0366998</v>
      </c>
      <c r="AG49">
        <f t="shared" si="9"/>
        <v>3089035919.0366998</v>
      </c>
      <c r="AH49">
        <v>604397604</v>
      </c>
      <c r="AI49">
        <v>3225730452.3084002</v>
      </c>
      <c r="AJ49">
        <f>SUM($AH$49+$AI$49)</f>
        <v>3830128056.3084002</v>
      </c>
    </row>
    <row r="50" spans="2:36">
      <c r="B50" s="1" t="s">
        <v>1</v>
      </c>
      <c r="C50" t="s">
        <v>0</v>
      </c>
      <c r="D50">
        <v>293442005</v>
      </c>
      <c r="E50">
        <v>1719570149.3</v>
      </c>
      <c r="F50">
        <f t="shared" si="0"/>
        <v>2013012154.3</v>
      </c>
      <c r="G50">
        <v>296886770</v>
      </c>
      <c r="H50">
        <v>1763240215.707</v>
      </c>
      <c r="I50">
        <f t="shared" si="1"/>
        <v>2060126985.707</v>
      </c>
      <c r="J50">
        <v>326824763</v>
      </c>
      <c r="K50">
        <v>2125439481.2179</v>
      </c>
      <c r="L50">
        <f t="shared" si="2"/>
        <v>2452264244.2179003</v>
      </c>
      <c r="M50">
        <v>342998938</v>
      </c>
      <c r="N50">
        <v>2282074834.1954002</v>
      </c>
      <c r="O50">
        <f t="shared" si="3"/>
        <v>2625073772.1954002</v>
      </c>
      <c r="P50">
        <v>380209938</v>
      </c>
      <c r="Q50">
        <v>2642953342.0194001</v>
      </c>
      <c r="R50">
        <f t="shared" si="4"/>
        <v>3023163280.0194001</v>
      </c>
      <c r="S50">
        <v>480515502</v>
      </c>
      <c r="T50">
        <v>3709867984.7412</v>
      </c>
      <c r="U50">
        <f t="shared" si="5"/>
        <v>4190383486.7412</v>
      </c>
      <c r="V50">
        <v>516828396</v>
      </c>
      <c r="W50">
        <v>4085580153.2195997</v>
      </c>
      <c r="X50">
        <f t="shared" si="6"/>
        <v>4602408549.2195997</v>
      </c>
      <c r="Y50">
        <v>614006139</v>
      </c>
      <c r="Z50">
        <v>4919908390.5791998</v>
      </c>
      <c r="AA50">
        <f t="shared" si="7"/>
        <v>5533914529.5791998</v>
      </c>
      <c r="AB50">
        <v>677051659</v>
      </c>
      <c r="AC50">
        <v>5556495260.2471008</v>
      </c>
      <c r="AD50">
        <f t="shared" si="8"/>
        <v>6233546919.2471008</v>
      </c>
      <c r="AE50">
        <v>820976466</v>
      </c>
      <c r="AF50">
        <v>7248237023.0207996</v>
      </c>
      <c r="AG50">
        <f t="shared" si="9"/>
        <v>8069213489.0207996</v>
      </c>
      <c r="AH50">
        <v>882541076</v>
      </c>
      <c r="AI50">
        <v>7978789105.7932005</v>
      </c>
      <c r="AJ50">
        <f>SUM($AH$50+$AI$50)</f>
        <v>8861330181.7932014</v>
      </c>
    </row>
    <row r="51" spans="2:36">
      <c r="B51" t="s">
        <v>100</v>
      </c>
      <c r="C51" t="s">
        <v>101</v>
      </c>
      <c r="D51">
        <v>101008370</v>
      </c>
      <c r="E51">
        <v>193471431.898</v>
      </c>
      <c r="F51">
        <f t="shared" si="0"/>
        <v>294479801.898</v>
      </c>
      <c r="G51">
        <v>104776045</v>
      </c>
      <c r="H51">
        <v>212789669.79050002</v>
      </c>
      <c r="I51">
        <f t="shared" si="1"/>
        <v>317565714.79050004</v>
      </c>
      <c r="J51">
        <v>101449465</v>
      </c>
      <c r="K51">
        <v>257925119.81600001</v>
      </c>
      <c r="L51">
        <f t="shared" si="2"/>
        <v>359374584.81599998</v>
      </c>
      <c r="M51">
        <v>98343390</v>
      </c>
      <c r="N51">
        <v>249044800.836</v>
      </c>
      <c r="O51">
        <f t="shared" si="3"/>
        <v>347388190.83599997</v>
      </c>
      <c r="P51">
        <v>101392390</v>
      </c>
      <c r="Q51">
        <v>270961023.03600001</v>
      </c>
      <c r="R51">
        <f t="shared" si="4"/>
        <v>372353413.03600001</v>
      </c>
      <c r="S51">
        <v>113831010</v>
      </c>
      <c r="T51">
        <v>327810542.59800005</v>
      </c>
      <c r="U51">
        <f t="shared" si="5"/>
        <v>441641552.59800005</v>
      </c>
      <c r="V51">
        <v>118977085</v>
      </c>
      <c r="W51">
        <v>350958605.333</v>
      </c>
      <c r="X51">
        <f t="shared" si="6"/>
        <v>469935690.333</v>
      </c>
      <c r="Y51">
        <v>154897225</v>
      </c>
      <c r="Z51">
        <v>467170030.60000002</v>
      </c>
      <c r="AA51">
        <f t="shared" si="7"/>
        <v>622067255.60000002</v>
      </c>
      <c r="AB51">
        <v>171076805</v>
      </c>
      <c r="AC51">
        <v>527703512.70299995</v>
      </c>
      <c r="AD51">
        <f t="shared" si="8"/>
        <v>698780317.70299995</v>
      </c>
      <c r="AE51">
        <v>226718506</v>
      </c>
      <c r="AF51">
        <v>783811218.94320011</v>
      </c>
      <c r="AG51">
        <f t="shared" si="9"/>
        <v>1010529724.9432001</v>
      </c>
      <c r="AH51">
        <v>236119206</v>
      </c>
      <c r="AI51">
        <v>822261522.97440004</v>
      </c>
      <c r="AJ51">
        <f>SUM($AH$51+$AI$51)</f>
        <v>1058380728.9744</v>
      </c>
    </row>
    <row r="52" spans="2:36">
      <c r="B52" s="2" t="s">
        <v>24</v>
      </c>
      <c r="C52" t="s">
        <v>20</v>
      </c>
      <c r="D52">
        <v>452551276</v>
      </c>
      <c r="E52">
        <v>3321047538.9260001</v>
      </c>
      <c r="F52">
        <f t="shared" si="0"/>
        <v>3773598814.9260001</v>
      </c>
      <c r="G52">
        <v>458778966</v>
      </c>
      <c r="H52">
        <v>3422903987.4294</v>
      </c>
      <c r="I52">
        <f t="shared" si="1"/>
        <v>3881682953.4294</v>
      </c>
      <c r="J52">
        <v>491340456</v>
      </c>
      <c r="K52">
        <v>3778752044.9592004</v>
      </c>
      <c r="L52">
        <f t="shared" si="2"/>
        <v>4270092500.9592004</v>
      </c>
      <c r="M52">
        <v>528042181</v>
      </c>
      <c r="N52">
        <v>4189750685.1445003</v>
      </c>
      <c r="O52">
        <f t="shared" si="3"/>
        <v>4717792866.1445007</v>
      </c>
      <c r="P52">
        <v>563799490</v>
      </c>
      <c r="Q52">
        <v>4528663023.4759998</v>
      </c>
      <c r="R52">
        <f t="shared" si="4"/>
        <v>5092462513.4759998</v>
      </c>
      <c r="S52">
        <v>693886835</v>
      </c>
      <c r="T52">
        <v>6180588816.7119999</v>
      </c>
      <c r="U52">
        <f t="shared" si="5"/>
        <v>6874475651.7119999</v>
      </c>
      <c r="V52">
        <v>753375985</v>
      </c>
      <c r="W52">
        <v>6848790404.4380007</v>
      </c>
      <c r="X52">
        <f t="shared" si="6"/>
        <v>7602166389.4380007</v>
      </c>
      <c r="Y52">
        <v>865086852</v>
      </c>
      <c r="Z52">
        <v>8068232525.1779995</v>
      </c>
      <c r="AA52">
        <f t="shared" si="7"/>
        <v>8933319377.1779995</v>
      </c>
      <c r="AB52">
        <v>1040240427</v>
      </c>
      <c r="AC52">
        <v>10466691128.388599</v>
      </c>
      <c r="AD52">
        <f t="shared" si="8"/>
        <v>11506931555.388599</v>
      </c>
      <c r="AE52">
        <v>1208526673</v>
      </c>
      <c r="AF52">
        <v>12802285605.090899</v>
      </c>
      <c r="AG52">
        <f t="shared" si="9"/>
        <v>14010812278.090899</v>
      </c>
      <c r="AH52">
        <v>1289112203</v>
      </c>
      <c r="AI52">
        <v>14178687298.356401</v>
      </c>
      <c r="AJ52">
        <f>SUM($AH$52+$AI$52)</f>
        <v>15467799501.356401</v>
      </c>
    </row>
    <row r="53" spans="2:36">
      <c r="B53" t="s">
        <v>229</v>
      </c>
      <c r="C53" t="s">
        <v>218</v>
      </c>
      <c r="D53">
        <v>405876309</v>
      </c>
      <c r="E53">
        <v>2137588168.9793999</v>
      </c>
      <c r="F53">
        <f t="shared" si="0"/>
        <v>2543464477.9793997</v>
      </c>
      <c r="G53">
        <v>405876309</v>
      </c>
      <c r="H53">
        <v>2137588168.9793999</v>
      </c>
      <c r="I53">
        <f t="shared" si="1"/>
        <v>2543464477.9793997</v>
      </c>
      <c r="J53">
        <v>405876309</v>
      </c>
      <c r="K53">
        <v>2137588168.9793999</v>
      </c>
      <c r="L53">
        <f t="shared" si="2"/>
        <v>2543464477.9793997</v>
      </c>
      <c r="M53">
        <v>405876309</v>
      </c>
      <c r="N53">
        <v>2137588168.9793999</v>
      </c>
      <c r="O53">
        <f t="shared" si="3"/>
        <v>2543464477.9793997</v>
      </c>
      <c r="P53">
        <v>405876309</v>
      </c>
      <c r="Q53">
        <v>2137588168.9793999</v>
      </c>
      <c r="R53">
        <f t="shared" si="4"/>
        <v>2543464477.9793997</v>
      </c>
      <c r="S53">
        <v>405876309</v>
      </c>
      <c r="T53">
        <v>2137588168.9793999</v>
      </c>
      <c r="U53">
        <f t="shared" si="5"/>
        <v>2543464477.9793997</v>
      </c>
      <c r="V53">
        <v>405876309</v>
      </c>
      <c r="W53">
        <v>2137588168.9793999</v>
      </c>
      <c r="X53">
        <f t="shared" si="6"/>
        <v>2543464477.9793997</v>
      </c>
      <c r="Y53">
        <v>405876309</v>
      </c>
      <c r="Z53">
        <v>2137588168.9793999</v>
      </c>
      <c r="AA53">
        <f t="shared" si="7"/>
        <v>2543464477.9793997</v>
      </c>
      <c r="AB53">
        <v>405876309</v>
      </c>
      <c r="AC53">
        <v>2137588168.9793999</v>
      </c>
      <c r="AD53">
        <f t="shared" si="8"/>
        <v>2543464477.9793997</v>
      </c>
      <c r="AE53">
        <v>497303165</v>
      </c>
      <c r="AF53">
        <v>2953980800.0999999</v>
      </c>
      <c r="AG53">
        <f t="shared" si="9"/>
        <v>3451283965.0999999</v>
      </c>
      <c r="AH53">
        <v>530016208</v>
      </c>
      <c r="AI53">
        <v>3330038833.2431998</v>
      </c>
      <c r="AJ53">
        <f>SUM($AH$53+$AI$53)</f>
        <v>3860055041.2431998</v>
      </c>
    </row>
    <row r="54" spans="2:36">
      <c r="B54" s="2" t="s">
        <v>37</v>
      </c>
      <c r="C54" t="s">
        <v>38</v>
      </c>
      <c r="D54">
        <v>79615680</v>
      </c>
      <c r="E54">
        <v>112958726.78399999</v>
      </c>
      <c r="F54">
        <f t="shared" si="0"/>
        <v>192574406.78399998</v>
      </c>
      <c r="G54">
        <v>89707960</v>
      </c>
      <c r="H54">
        <v>139226753.91999999</v>
      </c>
      <c r="I54">
        <f t="shared" si="1"/>
        <v>228934713.91999999</v>
      </c>
      <c r="J54">
        <v>81166840</v>
      </c>
      <c r="K54">
        <v>151952441.164</v>
      </c>
      <c r="L54">
        <f t="shared" si="2"/>
        <v>233119281.164</v>
      </c>
      <c r="M54">
        <v>81790615</v>
      </c>
      <c r="N54">
        <v>154044444.29100001</v>
      </c>
      <c r="O54">
        <f t="shared" si="3"/>
        <v>235835059.29100001</v>
      </c>
      <c r="P54">
        <v>100717065</v>
      </c>
      <c r="Q54">
        <v>200719038.83849999</v>
      </c>
      <c r="R54">
        <f t="shared" si="4"/>
        <v>301436103.83850002</v>
      </c>
      <c r="S54">
        <v>123182090</v>
      </c>
      <c r="T54">
        <v>292261826.73399997</v>
      </c>
      <c r="U54">
        <f t="shared" si="5"/>
        <v>415443916.73399997</v>
      </c>
      <c r="V54">
        <v>141496250</v>
      </c>
      <c r="W54">
        <v>342774665.625</v>
      </c>
      <c r="X54">
        <f t="shared" si="6"/>
        <v>484270915.625</v>
      </c>
      <c r="Y54">
        <v>168940098</v>
      </c>
      <c r="Z54">
        <v>420660844.01999998</v>
      </c>
      <c r="AA54">
        <f t="shared" si="7"/>
        <v>589600942.01999998</v>
      </c>
      <c r="AB54">
        <v>172492598</v>
      </c>
      <c r="AC54">
        <v>426574194.85400003</v>
      </c>
      <c r="AD54">
        <f t="shared" si="8"/>
        <v>599066792.85400009</v>
      </c>
      <c r="AE54">
        <v>199389409</v>
      </c>
      <c r="AF54">
        <v>551750372.5848</v>
      </c>
      <c r="AG54">
        <f t="shared" si="9"/>
        <v>751139781.5848</v>
      </c>
      <c r="AH54">
        <v>201209219</v>
      </c>
      <c r="AI54">
        <v>566766128.07920003</v>
      </c>
      <c r="AJ54">
        <f>SUM($AH$54+$AI$54)</f>
        <v>767975347.07920003</v>
      </c>
    </row>
    <row r="55" spans="2:36">
      <c r="B55" t="s">
        <v>128</v>
      </c>
      <c r="C55" t="s">
        <v>129</v>
      </c>
      <c r="D55">
        <v>16530145</v>
      </c>
      <c r="E55">
        <v>4833414.398</v>
      </c>
      <c r="F55">
        <f t="shared" si="0"/>
        <v>21363559.398000002</v>
      </c>
      <c r="G55">
        <v>16662585</v>
      </c>
      <c r="H55">
        <v>5551973.3219999997</v>
      </c>
      <c r="I55">
        <f t="shared" si="1"/>
        <v>22214558.322000001</v>
      </c>
      <c r="J55">
        <v>17778105</v>
      </c>
      <c r="K55">
        <v>7921923.5880000005</v>
      </c>
      <c r="L55">
        <f t="shared" si="2"/>
        <v>25700028.588</v>
      </c>
      <c r="M55">
        <v>18452805</v>
      </c>
      <c r="N55">
        <v>8025124.8945000004</v>
      </c>
      <c r="O55">
        <f t="shared" si="3"/>
        <v>26477929.894500002</v>
      </c>
      <c r="P55">
        <v>20288605</v>
      </c>
      <c r="Q55">
        <v>9077121.8770000003</v>
      </c>
      <c r="R55">
        <f t="shared" si="4"/>
        <v>29365726.877</v>
      </c>
      <c r="S55">
        <v>25624200</v>
      </c>
      <c r="T55">
        <v>14229118.26</v>
      </c>
      <c r="U55">
        <f t="shared" si="5"/>
        <v>39853318.259999998</v>
      </c>
      <c r="V55">
        <v>24348815</v>
      </c>
      <c r="W55">
        <v>13496548.1545</v>
      </c>
      <c r="X55">
        <f t="shared" si="6"/>
        <v>37845363.1545</v>
      </c>
      <c r="Y55">
        <v>63610535</v>
      </c>
      <c r="Z55">
        <v>42358255.256500006</v>
      </c>
      <c r="AA55">
        <f t="shared" si="7"/>
        <v>105968790.25650001</v>
      </c>
      <c r="AB55">
        <v>74772910</v>
      </c>
      <c r="AC55">
        <v>57246139.896000005</v>
      </c>
      <c r="AD55">
        <f t="shared" si="8"/>
        <v>132019049.896</v>
      </c>
      <c r="AE55">
        <v>83872850</v>
      </c>
      <c r="AF55">
        <v>81742479.609999999</v>
      </c>
      <c r="AG55">
        <f t="shared" si="9"/>
        <v>165615329.61000001</v>
      </c>
      <c r="AH55">
        <v>88182750</v>
      </c>
      <c r="AI55">
        <v>92389067.174999997</v>
      </c>
      <c r="AJ55">
        <f>SUM($AH$55+$AI$55)</f>
        <v>180571817.17500001</v>
      </c>
    </row>
    <row r="56" spans="2:36">
      <c r="B56" s="2" t="s">
        <v>48</v>
      </c>
      <c r="C56" s="2" t="s">
        <v>47</v>
      </c>
      <c r="D56">
        <v>245307834</v>
      </c>
      <c r="E56">
        <v>1168940890.5767999</v>
      </c>
      <c r="F56">
        <f t="shared" si="0"/>
        <v>1414248724.5767999</v>
      </c>
      <c r="G56">
        <v>254623999</v>
      </c>
      <c r="H56">
        <v>1247071959.9022999</v>
      </c>
      <c r="I56">
        <f t="shared" si="1"/>
        <v>1501695958.9022999</v>
      </c>
      <c r="J56">
        <v>263907874</v>
      </c>
      <c r="K56">
        <v>1439854969.7566001</v>
      </c>
      <c r="L56">
        <f t="shared" si="2"/>
        <v>1703762843.7566001</v>
      </c>
      <c r="M56">
        <v>265200689</v>
      </c>
      <c r="N56">
        <v>1467461492.5126002</v>
      </c>
      <c r="O56">
        <f t="shared" si="3"/>
        <v>1732662181.5126002</v>
      </c>
      <c r="P56">
        <v>278540474</v>
      </c>
      <c r="Q56">
        <v>1570578316.6963999</v>
      </c>
      <c r="R56">
        <f t="shared" si="4"/>
        <v>1849118790.6963999</v>
      </c>
      <c r="S56">
        <v>343898213</v>
      </c>
      <c r="T56">
        <v>2139528342.3581998</v>
      </c>
      <c r="U56">
        <f t="shared" si="5"/>
        <v>2483426555.3582001</v>
      </c>
      <c r="V56">
        <v>422902273</v>
      </c>
      <c r="W56">
        <v>2796356699.7579002</v>
      </c>
      <c r="X56">
        <f t="shared" si="6"/>
        <v>3219258972.7579002</v>
      </c>
      <c r="Y56">
        <v>534141871</v>
      </c>
      <c r="Z56">
        <v>3853085800.6455998</v>
      </c>
      <c r="AA56">
        <f t="shared" si="7"/>
        <v>4387227671.6455994</v>
      </c>
      <c r="AB56">
        <v>647698621</v>
      </c>
      <c r="AC56">
        <v>4837984849.5595007</v>
      </c>
      <c r="AD56">
        <f t="shared" si="8"/>
        <v>5485683470.5595007</v>
      </c>
      <c r="AE56">
        <v>745894477</v>
      </c>
      <c r="AF56">
        <v>5845575016.2490005</v>
      </c>
      <c r="AG56">
        <f t="shared" si="9"/>
        <v>6591469493.2490005</v>
      </c>
      <c r="AH56">
        <v>783439483</v>
      </c>
      <c r="AI56">
        <v>6233827966.2309999</v>
      </c>
      <c r="AJ56">
        <f>SUM($AH$56+$AI$56)</f>
        <v>7017267449.2309999</v>
      </c>
    </row>
    <row r="57" spans="2:36">
      <c r="B57" s="2" t="s">
        <v>60</v>
      </c>
      <c r="C57" t="s">
        <v>106</v>
      </c>
      <c r="D57">
        <v>290955858</v>
      </c>
      <c r="E57">
        <v>777463148.16179991</v>
      </c>
      <c r="F57">
        <f t="shared" si="0"/>
        <v>1068419006.1617999</v>
      </c>
      <c r="G57">
        <v>308853213</v>
      </c>
      <c r="H57">
        <v>986291850.39419997</v>
      </c>
      <c r="I57">
        <f t="shared" si="1"/>
        <v>1295145063.3941998</v>
      </c>
      <c r="J57">
        <v>305799613</v>
      </c>
      <c r="K57">
        <v>1036324308.4957</v>
      </c>
      <c r="L57">
        <f t="shared" si="2"/>
        <v>1342123921.4956999</v>
      </c>
      <c r="M57">
        <v>305799613</v>
      </c>
      <c r="N57">
        <v>1036324308.4957</v>
      </c>
      <c r="O57">
        <f t="shared" si="3"/>
        <v>1342123921.4956999</v>
      </c>
      <c r="P57">
        <v>287384678</v>
      </c>
      <c r="Q57">
        <v>1020934068.595</v>
      </c>
      <c r="R57">
        <f t="shared" si="4"/>
        <v>1308318746.595</v>
      </c>
      <c r="S57">
        <v>312839014</v>
      </c>
      <c r="T57">
        <v>1249134899.0006001</v>
      </c>
      <c r="U57">
        <f t="shared" si="5"/>
        <v>1561973913.0006001</v>
      </c>
      <c r="V57">
        <v>321847734</v>
      </c>
      <c r="W57">
        <v>1316485971.1536</v>
      </c>
      <c r="X57">
        <f t="shared" si="6"/>
        <v>1638333705.1536</v>
      </c>
      <c r="Y57">
        <v>409888814</v>
      </c>
      <c r="Z57">
        <v>1848762506.6656001</v>
      </c>
      <c r="AA57">
        <f t="shared" si="7"/>
        <v>2258651320.6655998</v>
      </c>
      <c r="AB57">
        <v>435098489</v>
      </c>
      <c r="AC57">
        <v>2030778687.5585999</v>
      </c>
      <c r="AD57">
        <f t="shared" si="8"/>
        <v>2465877176.5585999</v>
      </c>
      <c r="AE57">
        <v>500324655</v>
      </c>
      <c r="AF57">
        <v>2558960480.4629998</v>
      </c>
      <c r="AG57">
        <f t="shared" si="9"/>
        <v>3059285135.4629998</v>
      </c>
      <c r="AH57">
        <v>462748263</v>
      </c>
      <c r="AI57">
        <v>2502218682.5199003</v>
      </c>
      <c r="AJ57">
        <f>SUM($AH$57+$AI$57)</f>
        <v>2964966945.5199003</v>
      </c>
    </row>
    <row r="58" spans="2:36">
      <c r="B58" s="2" t="s">
        <v>44</v>
      </c>
      <c r="C58" t="s">
        <v>43</v>
      </c>
      <c r="D58">
        <v>297627873</v>
      </c>
      <c r="E58">
        <v>1666180358.6286001</v>
      </c>
      <c r="F58">
        <f t="shared" si="0"/>
        <v>1963808231.6286001</v>
      </c>
      <c r="G58">
        <v>311521068</v>
      </c>
      <c r="H58">
        <v>1786635629.1935999</v>
      </c>
      <c r="I58">
        <f t="shared" si="1"/>
        <v>2098156697.1935999</v>
      </c>
      <c r="J58">
        <v>347977352</v>
      </c>
      <c r="K58">
        <v>2172492204.0064001</v>
      </c>
      <c r="L58">
        <f t="shared" si="2"/>
        <v>2520469556.0064001</v>
      </c>
      <c r="M58">
        <v>349357462</v>
      </c>
      <c r="N58">
        <v>2185650153.7644</v>
      </c>
      <c r="O58">
        <f t="shared" si="3"/>
        <v>2535007615.7644</v>
      </c>
      <c r="P58">
        <v>366818002</v>
      </c>
      <c r="Q58">
        <v>2378484606.7681999</v>
      </c>
      <c r="R58">
        <f t="shared" si="4"/>
        <v>2745302608.7681999</v>
      </c>
      <c r="S58">
        <v>410612167</v>
      </c>
      <c r="T58">
        <v>2791793184.6496997</v>
      </c>
      <c r="U58">
        <f t="shared" si="5"/>
        <v>3202405351.6496997</v>
      </c>
      <c r="V58">
        <v>447324897</v>
      </c>
      <c r="W58">
        <v>3115975767.5226002</v>
      </c>
      <c r="X58">
        <f t="shared" si="6"/>
        <v>3563300664.5226002</v>
      </c>
      <c r="Y58">
        <v>508909675</v>
      </c>
      <c r="Z58">
        <v>3694989586.3049998</v>
      </c>
      <c r="AA58">
        <f t="shared" si="7"/>
        <v>4203899261.3049998</v>
      </c>
      <c r="AB58">
        <v>566345030</v>
      </c>
      <c r="AC58">
        <v>4168922400.3330002</v>
      </c>
      <c r="AD58">
        <f t="shared" si="8"/>
        <v>4735267430.3330002</v>
      </c>
      <c r="AE58">
        <v>624942741</v>
      </c>
      <c r="AF58">
        <v>4749252360.2294998</v>
      </c>
      <c r="AG58">
        <f t="shared" si="9"/>
        <v>5374195101.2294998</v>
      </c>
      <c r="AH58">
        <v>644331251</v>
      </c>
      <c r="AI58">
        <v>4930744898.2775002</v>
      </c>
      <c r="AJ58">
        <f>SUM($AH$58+$AI$58)</f>
        <v>5575076149.2775002</v>
      </c>
    </row>
    <row r="59" spans="2:36">
      <c r="B59" s="2" t="s">
        <v>15</v>
      </c>
      <c r="C59" t="s">
        <v>11</v>
      </c>
      <c r="D59">
        <v>65710930</v>
      </c>
      <c r="E59">
        <v>88611189.104999989</v>
      </c>
      <c r="F59">
        <f t="shared" si="0"/>
        <v>154322119.10499999</v>
      </c>
      <c r="G59">
        <v>67442850</v>
      </c>
      <c r="H59">
        <v>97003051.155000001</v>
      </c>
      <c r="I59">
        <f t="shared" si="1"/>
        <v>164445901.155</v>
      </c>
      <c r="J59">
        <v>88067790</v>
      </c>
      <c r="K59">
        <v>188491490.93700001</v>
      </c>
      <c r="L59">
        <f t="shared" si="2"/>
        <v>276559280.93700004</v>
      </c>
      <c r="M59">
        <v>96801426</v>
      </c>
      <c r="N59">
        <v>216641591.38800001</v>
      </c>
      <c r="O59">
        <f t="shared" si="3"/>
        <v>313443017.38800001</v>
      </c>
      <c r="P59">
        <v>116521410</v>
      </c>
      <c r="Q59">
        <v>300951497.74799997</v>
      </c>
      <c r="R59">
        <f t="shared" si="4"/>
        <v>417472907.74799997</v>
      </c>
      <c r="S59">
        <v>164863196</v>
      </c>
      <c r="T59">
        <v>525072792.9404</v>
      </c>
      <c r="U59">
        <f t="shared" si="5"/>
        <v>689935988.9404</v>
      </c>
      <c r="V59">
        <v>205923825</v>
      </c>
      <c r="W59">
        <v>685705744.86750007</v>
      </c>
      <c r="X59">
        <f t="shared" si="6"/>
        <v>891629569.86750007</v>
      </c>
      <c r="Y59">
        <v>263884978</v>
      </c>
      <c r="Z59">
        <v>933150059.20360005</v>
      </c>
      <c r="AA59">
        <f t="shared" si="7"/>
        <v>1197035037.2035999</v>
      </c>
      <c r="AB59">
        <v>294803968</v>
      </c>
      <c r="AC59">
        <v>1077213699.072</v>
      </c>
      <c r="AD59">
        <f t="shared" si="8"/>
        <v>1372017667.072</v>
      </c>
      <c r="AE59">
        <v>342151059</v>
      </c>
      <c r="AF59">
        <v>1344243080.5992</v>
      </c>
      <c r="AG59">
        <f t="shared" si="9"/>
        <v>1686394139.5992</v>
      </c>
      <c r="AH59">
        <v>356831394</v>
      </c>
      <c r="AI59">
        <v>1451875575.9072001</v>
      </c>
      <c r="AJ59">
        <f>SUM($AH$59+$AI$59)</f>
        <v>1808706969.9072001</v>
      </c>
    </row>
    <row r="60" spans="2:36">
      <c r="B60" t="s">
        <v>235</v>
      </c>
      <c r="C60" t="s">
        <v>224</v>
      </c>
      <c r="D60">
        <v>448461791</v>
      </c>
      <c r="E60">
        <v>2139656051.0401001</v>
      </c>
      <c r="F60">
        <f t="shared" si="0"/>
        <v>2588117842.0401001</v>
      </c>
      <c r="G60">
        <v>448461791</v>
      </c>
      <c r="H60">
        <v>2139656051.0401001</v>
      </c>
      <c r="I60">
        <f t="shared" si="1"/>
        <v>2588117842.0401001</v>
      </c>
      <c r="J60">
        <v>448461791</v>
      </c>
      <c r="K60">
        <v>2139656051.0401001</v>
      </c>
      <c r="L60">
        <f t="shared" si="2"/>
        <v>2588117842.0401001</v>
      </c>
      <c r="M60">
        <v>448461791</v>
      </c>
      <c r="N60">
        <v>2139656051.0401001</v>
      </c>
      <c r="O60">
        <f t="shared" si="3"/>
        <v>2588117842.0401001</v>
      </c>
      <c r="P60">
        <v>448461791</v>
      </c>
      <c r="Q60">
        <v>2139656051.0401001</v>
      </c>
      <c r="R60">
        <f t="shared" si="4"/>
        <v>2588117842.0401001</v>
      </c>
      <c r="S60">
        <v>448461791</v>
      </c>
      <c r="T60">
        <v>2139656051.0401001</v>
      </c>
      <c r="U60">
        <f t="shared" si="5"/>
        <v>2588117842.0401001</v>
      </c>
      <c r="V60">
        <v>448461791</v>
      </c>
      <c r="W60">
        <v>2139656051.0401001</v>
      </c>
      <c r="X60">
        <f t="shared" si="6"/>
        <v>2588117842.0401001</v>
      </c>
      <c r="Y60">
        <v>448461791</v>
      </c>
      <c r="Z60">
        <v>2139656051.0401001</v>
      </c>
      <c r="AA60">
        <f t="shared" si="7"/>
        <v>2588117842.0401001</v>
      </c>
      <c r="AB60">
        <v>448461791</v>
      </c>
      <c r="AC60">
        <v>2139656051.0401001</v>
      </c>
      <c r="AD60">
        <f t="shared" si="8"/>
        <v>2588117842.0401001</v>
      </c>
      <c r="AE60">
        <v>448461791</v>
      </c>
      <c r="AF60">
        <v>2139656051.0401001</v>
      </c>
      <c r="AG60">
        <f t="shared" si="9"/>
        <v>2588117842.0401001</v>
      </c>
      <c r="AH60">
        <v>492449091</v>
      </c>
      <c r="AI60">
        <v>2446437839.1789002</v>
      </c>
      <c r="AJ60">
        <f>SUM($AH$60+$AI$60)</f>
        <v>2938886930.1789002</v>
      </c>
    </row>
    <row r="61" spans="2:36">
      <c r="B61" t="s">
        <v>239</v>
      </c>
      <c r="C61" t="s">
        <v>238</v>
      </c>
      <c r="D61">
        <v>300363124</v>
      </c>
      <c r="E61">
        <v>903312059.11760008</v>
      </c>
      <c r="F61">
        <f t="shared" si="0"/>
        <v>1203675183.1176</v>
      </c>
      <c r="G61">
        <v>300363124</v>
      </c>
      <c r="H61">
        <v>903312059.11760008</v>
      </c>
      <c r="I61">
        <f t="shared" si="1"/>
        <v>1203675183.1176</v>
      </c>
      <c r="J61">
        <v>300363124</v>
      </c>
      <c r="K61">
        <v>903312059.11760008</v>
      </c>
      <c r="L61">
        <f t="shared" si="2"/>
        <v>1203675183.1176</v>
      </c>
      <c r="M61">
        <v>300363124</v>
      </c>
      <c r="N61">
        <v>903312059.11760008</v>
      </c>
      <c r="O61">
        <f t="shared" si="3"/>
        <v>1203675183.1176</v>
      </c>
      <c r="P61">
        <v>300363124</v>
      </c>
      <c r="Q61">
        <v>903312059.11760008</v>
      </c>
      <c r="R61">
        <f t="shared" si="4"/>
        <v>1203675183.1176</v>
      </c>
      <c r="S61">
        <v>300363124</v>
      </c>
      <c r="T61">
        <v>903312059.11760008</v>
      </c>
      <c r="U61">
        <f t="shared" si="5"/>
        <v>1203675183.1176</v>
      </c>
      <c r="V61">
        <v>300363124</v>
      </c>
      <c r="W61">
        <v>903312059.11760008</v>
      </c>
      <c r="X61">
        <f t="shared" si="6"/>
        <v>1203675183.1176</v>
      </c>
      <c r="Y61">
        <v>300363124</v>
      </c>
      <c r="Z61">
        <v>903312059.11760008</v>
      </c>
      <c r="AA61">
        <f t="shared" si="7"/>
        <v>1203675183.1176</v>
      </c>
      <c r="AB61">
        <v>300363124</v>
      </c>
      <c r="AC61">
        <v>903312059.11760008</v>
      </c>
      <c r="AD61">
        <f t="shared" si="8"/>
        <v>1203675183.1176</v>
      </c>
      <c r="AE61">
        <v>300363124</v>
      </c>
      <c r="AF61">
        <v>903312059.11760008</v>
      </c>
      <c r="AG61">
        <f t="shared" si="9"/>
        <v>1203675183.1176</v>
      </c>
      <c r="AH61">
        <v>320425089</v>
      </c>
      <c r="AI61">
        <v>1012991876.3645999</v>
      </c>
      <c r="AJ61">
        <f>SUM($AH$61+$AI$61)</f>
        <v>1333416965.3645999</v>
      </c>
    </row>
    <row r="62" spans="2:36">
      <c r="B62" t="s">
        <v>214</v>
      </c>
      <c r="C62" t="s">
        <v>213</v>
      </c>
      <c r="D62">
        <v>295107869</v>
      </c>
      <c r="E62">
        <v>632740781.92289996</v>
      </c>
      <c r="F62">
        <f t="shared" si="0"/>
        <v>927848650.92289996</v>
      </c>
      <c r="G62">
        <v>295107869</v>
      </c>
      <c r="H62">
        <v>632740781.92289996</v>
      </c>
      <c r="I62">
        <f t="shared" si="1"/>
        <v>927848650.92289996</v>
      </c>
      <c r="J62">
        <v>295107869</v>
      </c>
      <c r="K62">
        <v>632740781.92289996</v>
      </c>
      <c r="L62">
        <f t="shared" si="2"/>
        <v>927848650.92289996</v>
      </c>
      <c r="M62">
        <v>295107869</v>
      </c>
      <c r="N62">
        <v>632740781.92289996</v>
      </c>
      <c r="O62">
        <f t="shared" si="3"/>
        <v>927848650.92289996</v>
      </c>
      <c r="P62">
        <v>295107869</v>
      </c>
      <c r="Q62">
        <v>632740781.92289996</v>
      </c>
      <c r="R62">
        <f t="shared" si="4"/>
        <v>927848650.92289996</v>
      </c>
      <c r="S62">
        <v>295107869</v>
      </c>
      <c r="T62">
        <v>632740781.92289996</v>
      </c>
      <c r="U62">
        <f t="shared" si="5"/>
        <v>927848650.92289996</v>
      </c>
      <c r="V62">
        <v>295107869</v>
      </c>
      <c r="W62">
        <v>632740781.92289996</v>
      </c>
      <c r="X62">
        <f t="shared" si="6"/>
        <v>927848650.92289996</v>
      </c>
      <c r="Y62">
        <v>295107869</v>
      </c>
      <c r="Z62">
        <v>632740781.92289996</v>
      </c>
      <c r="AA62">
        <f t="shared" si="7"/>
        <v>927848650.92289996</v>
      </c>
      <c r="AB62">
        <v>295107869</v>
      </c>
      <c r="AC62">
        <v>632740781.92289996</v>
      </c>
      <c r="AD62">
        <f t="shared" si="8"/>
        <v>927848650.92289996</v>
      </c>
      <c r="AE62">
        <v>295107869</v>
      </c>
      <c r="AF62">
        <v>632740781.92289996</v>
      </c>
      <c r="AG62">
        <f t="shared" si="9"/>
        <v>927848650.92289996</v>
      </c>
      <c r="AH62">
        <v>341441549</v>
      </c>
      <c r="AI62">
        <v>924487138.07239997</v>
      </c>
      <c r="AJ62">
        <f>SUM($AH$62+$AI$62)</f>
        <v>1265928687.0724001</v>
      </c>
    </row>
    <row r="63" spans="2:36">
      <c r="B63" t="s">
        <v>211</v>
      </c>
      <c r="C63" t="s">
        <v>210</v>
      </c>
      <c r="D63">
        <v>157951455</v>
      </c>
      <c r="E63">
        <v>271502755.99949998</v>
      </c>
      <c r="F63">
        <f t="shared" si="0"/>
        <v>429454210.99949998</v>
      </c>
      <c r="G63">
        <v>157951455</v>
      </c>
      <c r="H63">
        <v>271502755.99949998</v>
      </c>
      <c r="I63">
        <f t="shared" si="1"/>
        <v>429454210.99949998</v>
      </c>
      <c r="J63">
        <v>157951455</v>
      </c>
      <c r="K63">
        <v>271502755.99949998</v>
      </c>
      <c r="L63">
        <f t="shared" si="2"/>
        <v>429454210.99949998</v>
      </c>
      <c r="M63">
        <v>157951455</v>
      </c>
      <c r="N63">
        <v>271502755.99949998</v>
      </c>
      <c r="O63">
        <f t="shared" si="3"/>
        <v>429454210.99949998</v>
      </c>
      <c r="P63">
        <v>157951455</v>
      </c>
      <c r="Q63">
        <v>271502755.99949998</v>
      </c>
      <c r="R63">
        <f t="shared" si="4"/>
        <v>429454210.99949998</v>
      </c>
      <c r="S63">
        <v>157951455</v>
      </c>
      <c r="T63">
        <v>271502755.99949998</v>
      </c>
      <c r="U63">
        <f t="shared" si="5"/>
        <v>429454210.99949998</v>
      </c>
      <c r="V63">
        <v>157951455</v>
      </c>
      <c r="W63">
        <v>271502755.99949998</v>
      </c>
      <c r="X63">
        <f t="shared" si="6"/>
        <v>429454210.99949998</v>
      </c>
      <c r="Y63">
        <v>157951455</v>
      </c>
      <c r="Z63">
        <v>271502755.99949998</v>
      </c>
      <c r="AA63">
        <f t="shared" si="7"/>
        <v>429454210.99949998</v>
      </c>
      <c r="AB63">
        <v>157951455</v>
      </c>
      <c r="AC63">
        <v>271502755.99949998</v>
      </c>
      <c r="AD63">
        <f t="shared" si="8"/>
        <v>429454210.99949998</v>
      </c>
      <c r="AE63">
        <v>157951455</v>
      </c>
      <c r="AF63">
        <v>271502755.99949998</v>
      </c>
      <c r="AG63">
        <f t="shared" si="9"/>
        <v>429454210.99949998</v>
      </c>
      <c r="AH63">
        <v>327641387</v>
      </c>
      <c r="AI63">
        <v>1312203754.9349999</v>
      </c>
      <c r="AJ63">
        <f>SUM($AH$63+$AI$63)</f>
        <v>1639845141.9349999</v>
      </c>
    </row>
    <row r="64" spans="2:36">
      <c r="B64" t="s">
        <v>208</v>
      </c>
      <c r="C64" t="s">
        <v>207</v>
      </c>
      <c r="D64">
        <v>196224720</v>
      </c>
      <c r="E64">
        <v>557984613.79200006</v>
      </c>
      <c r="F64">
        <f t="shared" si="0"/>
        <v>754209333.79200006</v>
      </c>
      <c r="G64">
        <v>196224720</v>
      </c>
      <c r="H64">
        <v>557984613.79200006</v>
      </c>
      <c r="I64">
        <f t="shared" si="1"/>
        <v>754209333.79200006</v>
      </c>
      <c r="J64">
        <v>196224720</v>
      </c>
      <c r="K64">
        <v>557984613.79200006</v>
      </c>
      <c r="L64">
        <f t="shared" si="2"/>
        <v>754209333.79200006</v>
      </c>
      <c r="M64">
        <v>196224720</v>
      </c>
      <c r="N64">
        <v>557984613.79200006</v>
      </c>
      <c r="O64">
        <f t="shared" si="3"/>
        <v>754209333.79200006</v>
      </c>
      <c r="P64">
        <v>196224720</v>
      </c>
      <c r="Q64">
        <v>557984613.79200006</v>
      </c>
      <c r="R64">
        <f t="shared" si="4"/>
        <v>754209333.79200006</v>
      </c>
      <c r="S64">
        <v>196224720</v>
      </c>
      <c r="T64">
        <v>557984613.79200006</v>
      </c>
      <c r="U64">
        <f t="shared" si="5"/>
        <v>754209333.79200006</v>
      </c>
      <c r="V64">
        <v>196224720</v>
      </c>
      <c r="W64">
        <v>557984613.79200006</v>
      </c>
      <c r="X64">
        <f t="shared" si="6"/>
        <v>754209333.79200006</v>
      </c>
      <c r="Y64">
        <v>196224720</v>
      </c>
      <c r="Z64">
        <v>557984613.79200006</v>
      </c>
      <c r="AA64">
        <f t="shared" si="7"/>
        <v>754209333.79200006</v>
      </c>
      <c r="AB64">
        <v>196224720</v>
      </c>
      <c r="AC64">
        <v>557984613.79200006</v>
      </c>
      <c r="AD64">
        <f t="shared" si="8"/>
        <v>754209333.79200006</v>
      </c>
      <c r="AE64">
        <v>196224720</v>
      </c>
      <c r="AF64">
        <v>557984613.79200006</v>
      </c>
      <c r="AG64">
        <f t="shared" si="9"/>
        <v>754209333.79200006</v>
      </c>
      <c r="AH64">
        <v>212800983</v>
      </c>
      <c r="AI64">
        <v>639488234.01329994</v>
      </c>
      <c r="AJ64">
        <f>SUM($AH$64+$AI$64)</f>
        <v>852289217.01329994</v>
      </c>
    </row>
    <row r="65" spans="2:36">
      <c r="B65" t="s">
        <v>233</v>
      </c>
      <c r="C65" t="s">
        <v>216</v>
      </c>
      <c r="D65">
        <v>194797190</v>
      </c>
      <c r="E65">
        <v>480252992.22600001</v>
      </c>
      <c r="F65">
        <f t="shared" si="0"/>
        <v>675050182.22600007</v>
      </c>
      <c r="G65">
        <v>194797190</v>
      </c>
      <c r="H65">
        <v>480252992.22600001</v>
      </c>
      <c r="I65">
        <f t="shared" si="1"/>
        <v>675050182.22600007</v>
      </c>
      <c r="J65">
        <v>194797190</v>
      </c>
      <c r="K65">
        <v>480252992.22600001</v>
      </c>
      <c r="L65">
        <f t="shared" si="2"/>
        <v>675050182.22600007</v>
      </c>
      <c r="M65">
        <v>194797190</v>
      </c>
      <c r="N65">
        <v>480252992.22600001</v>
      </c>
      <c r="O65">
        <f t="shared" si="3"/>
        <v>675050182.22600007</v>
      </c>
      <c r="P65">
        <v>194797190</v>
      </c>
      <c r="Q65">
        <v>480252992.22600001</v>
      </c>
      <c r="R65">
        <f t="shared" si="4"/>
        <v>675050182.22600007</v>
      </c>
      <c r="S65">
        <v>194797190</v>
      </c>
      <c r="T65">
        <v>480252992.22600001</v>
      </c>
      <c r="U65">
        <f t="shared" si="5"/>
        <v>675050182.22600007</v>
      </c>
      <c r="V65">
        <v>194797190</v>
      </c>
      <c r="W65">
        <v>480252992.22600001</v>
      </c>
      <c r="X65">
        <f t="shared" si="6"/>
        <v>675050182.22600007</v>
      </c>
      <c r="Y65">
        <v>194797190</v>
      </c>
      <c r="Z65">
        <v>480252992.22600001</v>
      </c>
      <c r="AA65">
        <f t="shared" si="7"/>
        <v>675050182.22600007</v>
      </c>
      <c r="AB65">
        <v>194797190</v>
      </c>
      <c r="AC65">
        <v>480252992.22600001</v>
      </c>
      <c r="AD65">
        <f t="shared" si="8"/>
        <v>675050182.22600007</v>
      </c>
      <c r="AE65">
        <v>194797190</v>
      </c>
      <c r="AF65">
        <v>480252992.22600001</v>
      </c>
      <c r="AG65">
        <f t="shared" si="9"/>
        <v>675050182.22600007</v>
      </c>
      <c r="AH65">
        <v>236796903</v>
      </c>
      <c r="AI65">
        <v>655501186.88460004</v>
      </c>
      <c r="AJ65">
        <f>SUM($AH$65+$AI$65)</f>
        <v>892298089.88460004</v>
      </c>
    </row>
    <row r="66" spans="2:36">
      <c r="B66" t="s">
        <v>119</v>
      </c>
      <c r="C66" t="s">
        <v>220</v>
      </c>
      <c r="D66">
        <v>222907328</v>
      </c>
      <c r="E66">
        <v>669680485.51040006</v>
      </c>
      <c r="F66">
        <f t="shared" si="0"/>
        <v>892587813.51040006</v>
      </c>
      <c r="G66">
        <v>222907328</v>
      </c>
      <c r="H66">
        <v>669680485.51040006</v>
      </c>
      <c r="I66">
        <f t="shared" si="1"/>
        <v>892587813.51040006</v>
      </c>
      <c r="J66">
        <v>222907328</v>
      </c>
      <c r="K66">
        <v>669680485.51040006</v>
      </c>
      <c r="L66">
        <f t="shared" si="2"/>
        <v>892587813.51040006</v>
      </c>
      <c r="M66">
        <v>222907328</v>
      </c>
      <c r="N66">
        <v>669680485.51040006</v>
      </c>
      <c r="O66">
        <f t="shared" si="3"/>
        <v>892587813.51040006</v>
      </c>
      <c r="P66">
        <v>222907328</v>
      </c>
      <c r="Q66">
        <v>669680485.51040006</v>
      </c>
      <c r="R66">
        <f t="shared" si="4"/>
        <v>892587813.51040006</v>
      </c>
      <c r="S66">
        <v>222907328</v>
      </c>
      <c r="T66">
        <v>669680485.51040006</v>
      </c>
      <c r="U66">
        <f t="shared" si="5"/>
        <v>892587813.51040006</v>
      </c>
      <c r="V66">
        <v>222907328</v>
      </c>
      <c r="W66">
        <v>669680485.51040006</v>
      </c>
      <c r="X66">
        <f t="shared" si="6"/>
        <v>892587813.51040006</v>
      </c>
      <c r="Y66">
        <v>222907328</v>
      </c>
      <c r="Z66">
        <v>669680485.51040006</v>
      </c>
      <c r="AA66">
        <f t="shared" si="7"/>
        <v>892587813.51040006</v>
      </c>
      <c r="AB66">
        <v>222907328</v>
      </c>
      <c r="AC66">
        <v>669680485.51040006</v>
      </c>
      <c r="AD66">
        <f t="shared" si="8"/>
        <v>892587813.51040006</v>
      </c>
      <c r="AE66">
        <v>222907328</v>
      </c>
      <c r="AF66">
        <v>669680485.51040006</v>
      </c>
      <c r="AG66">
        <f t="shared" si="9"/>
        <v>892587813.51040006</v>
      </c>
      <c r="AH66">
        <v>245079418</v>
      </c>
      <c r="AI66">
        <v>795674838.47880006</v>
      </c>
      <c r="AJ66">
        <f>SUM($AH$66+$AI$66)</f>
        <v>1040754256.4788001</v>
      </c>
    </row>
    <row r="67" spans="2:36">
      <c r="B67" t="s">
        <v>236</v>
      </c>
      <c r="C67" t="s">
        <v>226</v>
      </c>
      <c r="D67">
        <v>518517362</v>
      </c>
      <c r="E67">
        <v>3057852438.9226003</v>
      </c>
      <c r="F67">
        <f t="shared" si="0"/>
        <v>3576369800.9226003</v>
      </c>
      <c r="G67">
        <v>518517362</v>
      </c>
      <c r="H67">
        <v>3057852438.9226003</v>
      </c>
      <c r="I67">
        <f t="shared" si="1"/>
        <v>3576369800.9226003</v>
      </c>
      <c r="J67">
        <v>518517362</v>
      </c>
      <c r="K67">
        <v>3057852438.9226003</v>
      </c>
      <c r="L67">
        <f t="shared" si="2"/>
        <v>3576369800.9226003</v>
      </c>
      <c r="M67">
        <v>518517362</v>
      </c>
      <c r="N67">
        <v>3057852438.9226003</v>
      </c>
      <c r="O67">
        <f t="shared" si="3"/>
        <v>3576369800.9226003</v>
      </c>
      <c r="P67">
        <v>518517362</v>
      </c>
      <c r="Q67">
        <v>3057852438.9226003</v>
      </c>
      <c r="R67">
        <f t="shared" si="4"/>
        <v>3576369800.9226003</v>
      </c>
      <c r="S67">
        <v>518517362</v>
      </c>
      <c r="T67">
        <v>3057852438.9226003</v>
      </c>
      <c r="U67">
        <f t="shared" si="5"/>
        <v>3576369800.9226003</v>
      </c>
      <c r="V67">
        <v>518517362</v>
      </c>
      <c r="W67">
        <v>3057852438.9226003</v>
      </c>
      <c r="X67">
        <f t="shared" si="6"/>
        <v>3576369800.9226003</v>
      </c>
      <c r="Y67">
        <v>518517362</v>
      </c>
      <c r="Z67">
        <v>3057852438.9226003</v>
      </c>
      <c r="AA67">
        <f t="shared" si="7"/>
        <v>3576369800.9226003</v>
      </c>
      <c r="AB67">
        <v>518517362</v>
      </c>
      <c r="AC67">
        <v>3057852438.9226003</v>
      </c>
      <c r="AD67">
        <f t="shared" si="8"/>
        <v>3576369800.9226003</v>
      </c>
      <c r="AE67">
        <v>518517362</v>
      </c>
      <c r="AF67">
        <v>3057852438.9226003</v>
      </c>
      <c r="AG67">
        <f t="shared" si="9"/>
        <v>3576369800.9226003</v>
      </c>
      <c r="AH67">
        <v>540936937</v>
      </c>
      <c r="AI67">
        <v>3304583748.1329999</v>
      </c>
      <c r="AJ67">
        <f>SUM($AH$67+$AI$67)</f>
        <v>3845520685.1329999</v>
      </c>
    </row>
    <row r="68" spans="2:36">
      <c r="B68" t="s">
        <v>205</v>
      </c>
      <c r="C68" t="s">
        <v>204</v>
      </c>
      <c r="D68">
        <v>96818778</v>
      </c>
      <c r="E68">
        <v>86749625.088</v>
      </c>
      <c r="F68">
        <f t="shared" ref="F68" si="10">SUM(D68+E68)</f>
        <v>183568403.088</v>
      </c>
      <c r="G68">
        <v>96818778</v>
      </c>
      <c r="H68">
        <v>86749625.088</v>
      </c>
      <c r="I68">
        <f t="shared" ref="I68" si="11">SUM(G68+H68)</f>
        <v>183568403.088</v>
      </c>
      <c r="J68">
        <v>96818778</v>
      </c>
      <c r="K68">
        <v>86749625.088</v>
      </c>
      <c r="L68">
        <f t="shared" ref="L68" si="12">SUM(J68+K68)</f>
        <v>183568403.088</v>
      </c>
      <c r="M68">
        <v>96818778</v>
      </c>
      <c r="N68">
        <v>86749625.088</v>
      </c>
      <c r="O68">
        <f t="shared" ref="O68" si="13">SUM(M68+N68)</f>
        <v>183568403.088</v>
      </c>
      <c r="P68">
        <v>96818778</v>
      </c>
      <c r="Q68">
        <v>86749625.088</v>
      </c>
      <c r="R68">
        <f t="shared" ref="R68" si="14">SUM(P68+Q68)</f>
        <v>183568403.088</v>
      </c>
      <c r="S68">
        <v>96818778</v>
      </c>
      <c r="T68">
        <v>86749625.088</v>
      </c>
      <c r="U68">
        <f t="shared" ref="U68" si="15">SUM(S68+T68)</f>
        <v>183568403.088</v>
      </c>
      <c r="V68">
        <v>96818778</v>
      </c>
      <c r="W68">
        <v>86749625.088</v>
      </c>
      <c r="X68">
        <f t="shared" ref="X68" si="16">SUM(V68+W68)</f>
        <v>183568403.088</v>
      </c>
      <c r="Y68">
        <v>96818778</v>
      </c>
      <c r="Z68">
        <v>86749625.088</v>
      </c>
      <c r="AA68">
        <f t="shared" ref="AA68" si="17">SUM(Y68+Z68)</f>
        <v>183568403.088</v>
      </c>
      <c r="AB68">
        <v>96818778</v>
      </c>
      <c r="AC68">
        <v>86749625.088</v>
      </c>
      <c r="AD68">
        <f t="shared" ref="AD68" si="18">SUM(AB68+AC68)</f>
        <v>183568403.088</v>
      </c>
      <c r="AE68">
        <v>96818778</v>
      </c>
      <c r="AF68">
        <v>86749625.088</v>
      </c>
      <c r="AG68">
        <f t="shared" ref="AG68" si="19">SUM(AE68+AF68)</f>
        <v>183568403.088</v>
      </c>
      <c r="AH68">
        <v>105783490</v>
      </c>
      <c r="AI68">
        <v>111241918.08399999</v>
      </c>
      <c r="AJ68">
        <f>SUM($AH$68+$AI$68)</f>
        <v>217025408.08399999</v>
      </c>
    </row>
    <row r="69" spans="2:36">
      <c r="B69" t="s">
        <v>242</v>
      </c>
      <c r="C69" t="s">
        <v>243</v>
      </c>
      <c r="D69">
        <v>484378408</v>
      </c>
      <c r="E69">
        <v>3539885843.5047998</v>
      </c>
      <c r="F69">
        <f>SUM($D$69+$E$69)</f>
        <v>4024264251.5047998</v>
      </c>
      <c r="G69">
        <v>484378408</v>
      </c>
      <c r="H69">
        <v>3539885843.5047998</v>
      </c>
      <c r="I69">
        <f t="shared" ref="I69" si="20">SUM($D$69+$E$69)</f>
        <v>4024264251.5047998</v>
      </c>
      <c r="J69">
        <v>484378408</v>
      </c>
      <c r="K69">
        <v>3539885843.5047998</v>
      </c>
      <c r="L69">
        <f t="shared" ref="L69" si="21">SUM($D$69+$E$69)</f>
        <v>4024264251.5047998</v>
      </c>
      <c r="M69">
        <v>484378408</v>
      </c>
      <c r="N69">
        <v>3539885843.5047998</v>
      </c>
      <c r="O69">
        <f t="shared" ref="O69" si="22">SUM($D$69+$E$69)</f>
        <v>4024264251.5047998</v>
      </c>
      <c r="P69">
        <v>484378408</v>
      </c>
      <c r="Q69">
        <v>3539885843.5047998</v>
      </c>
      <c r="R69">
        <f t="shared" ref="R69" si="23">SUM($D$69+$E$69)</f>
        <v>4024264251.5047998</v>
      </c>
      <c r="S69">
        <v>484378408</v>
      </c>
      <c r="T69">
        <v>3539885843.5047998</v>
      </c>
      <c r="U69">
        <f t="shared" ref="U69" si="24">SUM($D$69+$E$69)</f>
        <v>4024264251.5047998</v>
      </c>
      <c r="V69">
        <v>484378408</v>
      </c>
      <c r="W69">
        <v>3539885843.5047998</v>
      </c>
      <c r="X69">
        <f t="shared" ref="X69" si="25">SUM($D$69+$E$69)</f>
        <v>4024264251.5047998</v>
      </c>
      <c r="Y69">
        <v>484378408</v>
      </c>
      <c r="Z69">
        <v>3539885843.5047998</v>
      </c>
      <c r="AA69">
        <f t="shared" ref="AA69" si="26">SUM($D$69+$E$69)</f>
        <v>4024264251.5047998</v>
      </c>
      <c r="AB69">
        <v>484378408</v>
      </c>
      <c r="AC69">
        <v>3539885843.5047998</v>
      </c>
      <c r="AD69">
        <f t="shared" ref="AD69" si="27">SUM($D$69+$E$69)</f>
        <v>4024264251.5047998</v>
      </c>
      <c r="AE69">
        <v>484378408</v>
      </c>
      <c r="AF69">
        <v>3539885843.5047998</v>
      </c>
      <c r="AG69">
        <f t="shared" ref="AG69" si="28">SUM($D$69+$E$69)</f>
        <v>4024264251.5047998</v>
      </c>
      <c r="AH69">
        <v>485631102</v>
      </c>
      <c r="AI69">
        <v>3568465900.6061997</v>
      </c>
      <c r="AJ69">
        <f>SUM($AH$69+$AI$69)</f>
        <v>4054097002.6061997</v>
      </c>
    </row>
    <row r="70" spans="2:36">
      <c r="B70" t="s">
        <v>246</v>
      </c>
      <c r="C70" t="s">
        <v>245</v>
      </c>
      <c r="D70">
        <v>334742014</v>
      </c>
      <c r="E70">
        <v>1080748066.4004002</v>
      </c>
      <c r="F70">
        <f>SUM($D$70+$E$70)</f>
        <v>1415490080.4004002</v>
      </c>
      <c r="G70">
        <v>334742014</v>
      </c>
      <c r="H70">
        <v>1080748066.4004002</v>
      </c>
      <c r="I70">
        <f t="shared" ref="I70" si="29">SUM($D$70+$E$70)</f>
        <v>1415490080.4004002</v>
      </c>
      <c r="J70">
        <v>334742014</v>
      </c>
      <c r="K70">
        <v>1080748066.4004002</v>
      </c>
      <c r="L70">
        <f t="shared" ref="L70" si="30">SUM($D$70+$E$70)</f>
        <v>1415490080.4004002</v>
      </c>
      <c r="M70">
        <v>334742014</v>
      </c>
      <c r="N70">
        <v>1080748066.4004002</v>
      </c>
      <c r="O70">
        <f t="shared" ref="O70" si="31">SUM($D$70+$E$70)</f>
        <v>1415490080.4004002</v>
      </c>
      <c r="P70">
        <v>334742014</v>
      </c>
      <c r="Q70">
        <v>1080748066.4004002</v>
      </c>
      <c r="R70">
        <f t="shared" ref="R70" si="32">SUM($D$70+$E$70)</f>
        <v>1415490080.4004002</v>
      </c>
      <c r="S70">
        <v>334742014</v>
      </c>
      <c r="T70">
        <v>1080748066.4004002</v>
      </c>
      <c r="U70">
        <f t="shared" ref="U70" si="33">SUM($D$70+$E$70)</f>
        <v>1415490080.4004002</v>
      </c>
      <c r="V70">
        <v>334742014</v>
      </c>
      <c r="W70">
        <v>1080748066.4004002</v>
      </c>
      <c r="X70">
        <f t="shared" ref="X70" si="34">SUM($D$70+$E$70)</f>
        <v>1415490080.4004002</v>
      </c>
      <c r="Y70">
        <v>334742014</v>
      </c>
      <c r="Z70">
        <v>1080748066.4004002</v>
      </c>
      <c r="AA70">
        <f t="shared" ref="AA70" si="35">SUM($D$70+$E$70)</f>
        <v>1415490080.4004002</v>
      </c>
      <c r="AB70">
        <v>334742014</v>
      </c>
      <c r="AC70">
        <v>1080748066.4004002</v>
      </c>
      <c r="AD70">
        <f t="shared" ref="AD70" si="36">SUM($D$70+$E$70)</f>
        <v>1415490080.4004002</v>
      </c>
      <c r="AE70">
        <v>334742014</v>
      </c>
      <c r="AF70">
        <v>1080748066.4004002</v>
      </c>
      <c r="AG70">
        <f t="shared" ref="AG70" si="37">SUM($D$70+$E$70)</f>
        <v>1415490080.4004002</v>
      </c>
      <c r="AH70">
        <v>333158014</v>
      </c>
      <c r="AI70">
        <v>1100787394.0574</v>
      </c>
      <c r="AJ70">
        <f>SUM($AH$70+$AI$70)</f>
        <v>1433945408.0574</v>
      </c>
    </row>
    <row r="71" spans="2:36">
      <c r="B71" t="s">
        <v>249</v>
      </c>
      <c r="C71" t="s">
        <v>247</v>
      </c>
      <c r="D71">
        <v>203513018</v>
      </c>
      <c r="E71">
        <v>763377330.51800001</v>
      </c>
      <c r="F71">
        <f>SUM($D$71+$E$71)</f>
        <v>966890348.51800001</v>
      </c>
      <c r="G71">
        <v>203513018</v>
      </c>
      <c r="H71">
        <v>763377330.51800001</v>
      </c>
      <c r="I71">
        <f t="shared" ref="I71" si="38">SUM($D$71+$E$71)</f>
        <v>966890348.51800001</v>
      </c>
      <c r="J71">
        <v>203513018</v>
      </c>
      <c r="K71">
        <v>763377330.51800001</v>
      </c>
      <c r="L71">
        <f t="shared" ref="L71" si="39">SUM($D$71+$E$71)</f>
        <v>966890348.51800001</v>
      </c>
      <c r="M71">
        <v>203513018</v>
      </c>
      <c r="N71">
        <v>763377330.51800001</v>
      </c>
      <c r="O71">
        <f t="shared" ref="O71" si="40">SUM($D$71+$E$71)</f>
        <v>966890348.51800001</v>
      </c>
      <c r="P71">
        <v>203513018</v>
      </c>
      <c r="Q71">
        <v>763377330.51800001</v>
      </c>
      <c r="R71">
        <f t="shared" ref="R71" si="41">SUM($D$71+$E$71)</f>
        <v>966890348.51800001</v>
      </c>
      <c r="S71">
        <v>203513018</v>
      </c>
      <c r="T71">
        <v>763377330.51800001</v>
      </c>
      <c r="U71">
        <f t="shared" ref="U71" si="42">SUM($D$71+$E$71)</f>
        <v>966890348.51800001</v>
      </c>
      <c r="V71">
        <v>203513018</v>
      </c>
      <c r="W71">
        <v>763377330.51800001</v>
      </c>
      <c r="X71">
        <f t="shared" ref="X71" si="43">SUM($D$71+$E$71)</f>
        <v>966890348.51800001</v>
      </c>
      <c r="Y71">
        <v>203513018</v>
      </c>
      <c r="Z71">
        <v>763377330.51800001</v>
      </c>
      <c r="AA71">
        <f t="shared" ref="AA71" si="44">SUM($D$71+$E$71)</f>
        <v>966890348.51800001</v>
      </c>
      <c r="AB71">
        <v>203513018</v>
      </c>
      <c r="AC71">
        <v>763377330.51800001</v>
      </c>
      <c r="AD71">
        <f t="shared" ref="AD71" si="45">SUM($D$71+$E$71)</f>
        <v>966890348.51800001</v>
      </c>
      <c r="AE71">
        <v>203513018</v>
      </c>
      <c r="AF71">
        <v>763377330.51800001</v>
      </c>
      <c r="AG71">
        <f t="shared" ref="AG71" si="46">SUM($D$71+$E$71)</f>
        <v>966890348.51800001</v>
      </c>
      <c r="AH71">
        <v>205461098</v>
      </c>
      <c r="AI71">
        <v>777690802.03979993</v>
      </c>
      <c r="AJ71">
        <f>SUM($AH$71+$AI$71)</f>
        <v>983151900.03979993</v>
      </c>
    </row>
    <row r="72" spans="2:36">
      <c r="B72" t="s">
        <v>252</v>
      </c>
      <c r="C72" t="s">
        <v>251</v>
      </c>
      <c r="D72">
        <v>201354184</v>
      </c>
      <c r="E72">
        <v>706712915.00320005</v>
      </c>
      <c r="F72">
        <f>SUM($D$72+$E$72)</f>
        <v>908067099.00320005</v>
      </c>
      <c r="G72">
        <v>201354184</v>
      </c>
      <c r="H72">
        <v>706712915.00320005</v>
      </c>
      <c r="I72">
        <f t="shared" ref="I72" si="47">SUM($D$72+$E$72)</f>
        <v>908067099.00320005</v>
      </c>
      <c r="J72">
        <v>201354184</v>
      </c>
      <c r="K72">
        <v>706712915.00320005</v>
      </c>
      <c r="L72">
        <f t="shared" ref="L72" si="48">SUM($D$72+$E$72)</f>
        <v>908067099.00320005</v>
      </c>
      <c r="M72">
        <v>201354184</v>
      </c>
      <c r="N72">
        <v>706712915.00320005</v>
      </c>
      <c r="O72">
        <f t="shared" ref="O72" si="49">SUM($D$72+$E$72)</f>
        <v>908067099.00320005</v>
      </c>
      <c r="P72">
        <v>201354184</v>
      </c>
      <c r="Q72">
        <v>706712915.00320005</v>
      </c>
      <c r="R72">
        <f t="shared" ref="R72" si="50">SUM($D$72+$E$72)</f>
        <v>908067099.00320005</v>
      </c>
      <c r="S72">
        <v>201354184</v>
      </c>
      <c r="T72">
        <v>706712915.00320005</v>
      </c>
      <c r="U72">
        <f t="shared" ref="U72" si="51">SUM($D$72+$E$72)</f>
        <v>908067099.00320005</v>
      </c>
      <c r="V72">
        <v>201354184</v>
      </c>
      <c r="W72">
        <v>706712915.00320005</v>
      </c>
      <c r="X72">
        <f t="shared" ref="X72" si="52">SUM($D$72+$E$72)</f>
        <v>908067099.00320005</v>
      </c>
      <c r="Y72">
        <v>201354184</v>
      </c>
      <c r="Z72">
        <v>706712915.00320005</v>
      </c>
      <c r="AA72">
        <f t="shared" ref="AA72" si="53">SUM($D$72+$E$72)</f>
        <v>908067099.00320005</v>
      </c>
      <c r="AB72">
        <v>201354184</v>
      </c>
      <c r="AC72">
        <v>706712915.00320005</v>
      </c>
      <c r="AD72">
        <f t="shared" ref="AD72" si="54">SUM($D$72+$E$72)</f>
        <v>908067099.00320005</v>
      </c>
      <c r="AE72">
        <v>201354184</v>
      </c>
      <c r="AF72">
        <v>706712915.00320005</v>
      </c>
      <c r="AG72">
        <f t="shared" ref="AG72" si="55">SUM($D$72+$E$72)</f>
        <v>908067099.00320005</v>
      </c>
      <c r="AH72">
        <v>210369772</v>
      </c>
      <c r="AI72">
        <v>754070447.73399997</v>
      </c>
      <c r="AJ72">
        <f>SUM($AH$72+$AI$72)</f>
        <v>964440219.73399997</v>
      </c>
    </row>
    <row r="73" spans="2:36">
      <c r="B73" s="2" t="s">
        <v>255</v>
      </c>
      <c r="C73" t="s">
        <v>254</v>
      </c>
      <c r="D73">
        <v>981118899</v>
      </c>
      <c r="E73">
        <v>7864060423.0445995</v>
      </c>
      <c r="F73">
        <f>SUM($D$73+$E$73)</f>
        <v>8845179322.0445995</v>
      </c>
      <c r="G73">
        <v>981118899</v>
      </c>
      <c r="H73">
        <v>7864060423.0445995</v>
      </c>
      <c r="I73">
        <f t="shared" ref="I73" si="56">SUM($D$73+$E$73)</f>
        <v>8845179322.0445995</v>
      </c>
      <c r="J73">
        <v>981118899</v>
      </c>
      <c r="K73">
        <v>7864060423.0445995</v>
      </c>
      <c r="L73">
        <f t="shared" ref="L73" si="57">SUM($D$73+$E$73)</f>
        <v>8845179322.0445995</v>
      </c>
      <c r="M73">
        <v>981118899</v>
      </c>
      <c r="N73">
        <v>7864060423.0445995</v>
      </c>
      <c r="O73">
        <f t="shared" ref="O73" si="58">SUM($D$73+$E$73)</f>
        <v>8845179322.0445995</v>
      </c>
      <c r="P73">
        <v>981118899</v>
      </c>
      <c r="Q73">
        <v>7864060423.0445995</v>
      </c>
      <c r="R73">
        <f t="shared" ref="R73" si="59">SUM($D$73+$E$73)</f>
        <v>8845179322.0445995</v>
      </c>
      <c r="S73">
        <v>981118899</v>
      </c>
      <c r="T73">
        <v>7864060423.0445995</v>
      </c>
      <c r="U73">
        <f t="shared" ref="U73" si="60">SUM($D$73+$E$73)</f>
        <v>8845179322.0445995</v>
      </c>
      <c r="V73">
        <v>981118899</v>
      </c>
      <c r="W73">
        <v>7864060423.0445995</v>
      </c>
      <c r="X73">
        <f t="shared" ref="X73" si="61">SUM($D$73+$E$73)</f>
        <v>8845179322.0445995</v>
      </c>
      <c r="Y73">
        <v>981118899</v>
      </c>
      <c r="Z73">
        <v>7864060423.0445995</v>
      </c>
      <c r="AA73">
        <f t="shared" ref="AA73" si="62">SUM($D$73+$E$73)</f>
        <v>8845179322.0445995</v>
      </c>
      <c r="AB73">
        <v>981118899</v>
      </c>
      <c r="AC73">
        <v>7864060423.0445995</v>
      </c>
      <c r="AD73">
        <f t="shared" ref="AD73" si="63">SUM($D$73+$E$73)</f>
        <v>8845179322.0445995</v>
      </c>
      <c r="AE73">
        <v>981118899</v>
      </c>
      <c r="AF73">
        <v>7864060423.0445995</v>
      </c>
      <c r="AG73">
        <f t="shared" ref="AG73" si="64">SUM($D$73+$E$73)</f>
        <v>8845179322.0445995</v>
      </c>
      <c r="AH73">
        <v>1012819344</v>
      </c>
      <c r="AI73">
        <v>8189353369.7808008</v>
      </c>
      <c r="AJ73">
        <f>SUM($AH$73+$AI$73)</f>
        <v>9202172713.7807999</v>
      </c>
    </row>
    <row r="74" spans="2:36">
      <c r="B74" t="s">
        <v>259</v>
      </c>
      <c r="C74" t="s">
        <v>257</v>
      </c>
      <c r="D74">
        <v>34634485</v>
      </c>
      <c r="E74">
        <v>35812057.490000002</v>
      </c>
      <c r="F74">
        <f>SUM($D$74+$E$74)</f>
        <v>70446542.49000001</v>
      </c>
      <c r="G74">
        <v>34634485</v>
      </c>
      <c r="H74">
        <v>35812057.490000002</v>
      </c>
      <c r="I74">
        <f t="shared" ref="I74" si="65">SUM($D$74+$E$74)</f>
        <v>70446542.49000001</v>
      </c>
      <c r="J74">
        <v>34634485</v>
      </c>
      <c r="K74">
        <v>35812057.490000002</v>
      </c>
      <c r="L74">
        <f t="shared" ref="L74" si="66">SUM($D$74+$E$74)</f>
        <v>70446542.49000001</v>
      </c>
      <c r="M74">
        <v>34634485</v>
      </c>
      <c r="N74">
        <v>35812057.490000002</v>
      </c>
      <c r="O74">
        <f t="shared" ref="O74" si="67">SUM($D$74+$E$74)</f>
        <v>70446542.49000001</v>
      </c>
      <c r="P74">
        <v>34634485</v>
      </c>
      <c r="Q74">
        <v>35812057.490000002</v>
      </c>
      <c r="R74">
        <f t="shared" ref="R74" si="68">SUM($D$74+$E$74)</f>
        <v>70446542.49000001</v>
      </c>
      <c r="S74">
        <v>34634485</v>
      </c>
      <c r="T74">
        <v>35812057.490000002</v>
      </c>
      <c r="U74">
        <f t="shared" ref="U74" si="69">SUM($D$74+$E$74)</f>
        <v>70446542.49000001</v>
      </c>
      <c r="V74">
        <v>34634485</v>
      </c>
      <c r="W74">
        <v>35812057.490000002</v>
      </c>
      <c r="X74">
        <f t="shared" ref="X74" si="70">SUM($D$74+$E$74)</f>
        <v>70446542.49000001</v>
      </c>
      <c r="Y74">
        <v>34634485</v>
      </c>
      <c r="Z74">
        <v>35812057.490000002</v>
      </c>
      <c r="AA74">
        <f t="shared" ref="AA74" si="71">SUM($D$74+$E$74)</f>
        <v>70446542.49000001</v>
      </c>
      <c r="AB74">
        <v>34634485</v>
      </c>
      <c r="AC74">
        <v>35812057.490000002</v>
      </c>
      <c r="AD74">
        <f t="shared" ref="AD74" si="72">SUM($D$74+$E$74)</f>
        <v>70446542.49000001</v>
      </c>
      <c r="AE74">
        <v>34634485</v>
      </c>
      <c r="AF74">
        <v>35812057.490000002</v>
      </c>
      <c r="AG74">
        <f t="shared" ref="AG74" si="73">SUM($D$74+$E$74)</f>
        <v>70446542.49000001</v>
      </c>
      <c r="AH74">
        <v>34634485</v>
      </c>
      <c r="AI74">
        <v>35812057.490000002</v>
      </c>
      <c r="AJ74">
        <f>SUM($AH$74+$AI$74)</f>
        <v>70446542.49000001</v>
      </c>
    </row>
    <row r="75" spans="2:36">
      <c r="B75" t="s">
        <v>268</v>
      </c>
      <c r="C75" t="s">
        <v>261</v>
      </c>
      <c r="D75">
        <v>116965944</v>
      </c>
      <c r="E75">
        <v>187554891.204</v>
      </c>
      <c r="F75">
        <f>SUM($D$75+$E$75)</f>
        <v>304520835.204</v>
      </c>
      <c r="G75">
        <v>116965944</v>
      </c>
      <c r="H75">
        <v>187554891.204</v>
      </c>
      <c r="I75">
        <f t="shared" ref="I75" si="74">SUM($D$75+$E$75)</f>
        <v>304520835.204</v>
      </c>
      <c r="J75">
        <v>116965944</v>
      </c>
      <c r="K75">
        <v>187554891.204</v>
      </c>
      <c r="L75">
        <f t="shared" ref="L75" si="75">SUM($D$75+$E$75)</f>
        <v>304520835.204</v>
      </c>
      <c r="M75">
        <v>116965944</v>
      </c>
      <c r="N75">
        <v>187554891.204</v>
      </c>
      <c r="O75">
        <f t="shared" ref="O75" si="76">SUM($D$75+$E$75)</f>
        <v>304520835.204</v>
      </c>
      <c r="P75">
        <v>116965944</v>
      </c>
      <c r="Q75">
        <v>187554891.204</v>
      </c>
      <c r="R75">
        <f t="shared" ref="R75" si="77">SUM($D$75+$E$75)</f>
        <v>304520835.204</v>
      </c>
      <c r="S75">
        <v>116965944</v>
      </c>
      <c r="T75">
        <v>187554891.204</v>
      </c>
      <c r="U75">
        <f t="shared" ref="U75" si="78">SUM($D$75+$E$75)</f>
        <v>304520835.204</v>
      </c>
      <c r="V75">
        <v>116965944</v>
      </c>
      <c r="W75">
        <v>187554891.204</v>
      </c>
      <c r="X75">
        <f t="shared" ref="X75" si="79">SUM($D$75+$E$75)</f>
        <v>304520835.204</v>
      </c>
      <c r="Y75">
        <v>116965944</v>
      </c>
      <c r="Z75">
        <v>187554891.204</v>
      </c>
      <c r="AA75">
        <f t="shared" ref="AA75" si="80">SUM($D$75+$E$75)</f>
        <v>304520835.204</v>
      </c>
      <c r="AB75">
        <v>116965944</v>
      </c>
      <c r="AC75">
        <v>187554891.204</v>
      </c>
      <c r="AD75">
        <f t="shared" ref="AD75" si="81">SUM($D$75+$E$75)</f>
        <v>304520835.204</v>
      </c>
      <c r="AE75">
        <v>116965944</v>
      </c>
      <c r="AF75">
        <v>187554891.204</v>
      </c>
      <c r="AG75">
        <f t="shared" ref="AG75" si="82">SUM($D$75+$E$75)</f>
        <v>304520835.204</v>
      </c>
      <c r="AH75">
        <v>116965944</v>
      </c>
      <c r="AI75">
        <v>187554891.204</v>
      </c>
      <c r="AJ75">
        <f t="shared" ref="AJ75" si="83">SUM($D$75+$E$75)</f>
        <v>304520835.204</v>
      </c>
    </row>
    <row r="76" spans="2:36">
      <c r="B76" t="s">
        <v>269</v>
      </c>
      <c r="C76" t="s">
        <v>263</v>
      </c>
      <c r="D76">
        <v>125376943</v>
      </c>
      <c r="E76">
        <v>261699293.1239</v>
      </c>
      <c r="F76">
        <f>SUM($D$76+$E$76)</f>
        <v>387076236.1239</v>
      </c>
      <c r="G76">
        <v>125376943</v>
      </c>
      <c r="H76">
        <v>261699293.1239</v>
      </c>
      <c r="I76">
        <f t="shared" ref="I76" si="84">SUM($D$76+$E$76)</f>
        <v>387076236.1239</v>
      </c>
      <c r="J76">
        <v>125376943</v>
      </c>
      <c r="K76">
        <v>261699293.1239</v>
      </c>
      <c r="L76">
        <f t="shared" ref="L76" si="85">SUM($D$76+$E$76)</f>
        <v>387076236.1239</v>
      </c>
      <c r="M76">
        <v>125376943</v>
      </c>
      <c r="N76">
        <v>261699293.1239</v>
      </c>
      <c r="O76">
        <f t="shared" ref="O76" si="86">SUM($D$76+$E$76)</f>
        <v>387076236.1239</v>
      </c>
      <c r="P76">
        <v>125376943</v>
      </c>
      <c r="Q76">
        <v>261699293.1239</v>
      </c>
      <c r="R76">
        <f t="shared" ref="R76" si="87">SUM($D$76+$E$76)</f>
        <v>387076236.1239</v>
      </c>
      <c r="S76">
        <v>125376943</v>
      </c>
      <c r="T76">
        <v>261699293.1239</v>
      </c>
      <c r="U76">
        <f t="shared" ref="U76" si="88">SUM($D$76+$E$76)</f>
        <v>387076236.1239</v>
      </c>
      <c r="V76">
        <v>125376943</v>
      </c>
      <c r="W76">
        <v>261699293.1239</v>
      </c>
      <c r="X76">
        <f t="shared" ref="X76" si="89">SUM($D$76+$E$76)</f>
        <v>387076236.1239</v>
      </c>
      <c r="Y76">
        <v>125376943</v>
      </c>
      <c r="Z76">
        <v>261699293.1239</v>
      </c>
      <c r="AA76">
        <f t="shared" ref="AA76" si="90">SUM($D$76+$E$76)</f>
        <v>387076236.1239</v>
      </c>
      <c r="AB76">
        <v>125376943</v>
      </c>
      <c r="AC76">
        <v>261699293.1239</v>
      </c>
      <c r="AD76">
        <f t="shared" ref="AD76" si="91">SUM($D$76+$E$76)</f>
        <v>387076236.1239</v>
      </c>
      <c r="AE76">
        <v>125376943</v>
      </c>
      <c r="AF76">
        <v>261699293.1239</v>
      </c>
      <c r="AG76">
        <f t="shared" ref="AG76" si="92">SUM($D$76+$E$76)</f>
        <v>387076236.1239</v>
      </c>
      <c r="AH76">
        <v>125376943</v>
      </c>
      <c r="AI76">
        <v>261699293.1239</v>
      </c>
      <c r="AJ76">
        <f t="shared" ref="AJ76" si="93">SUM($D$76+$E$76)</f>
        <v>387076236.1239</v>
      </c>
    </row>
    <row r="77" spans="2:36">
      <c r="B77" t="s">
        <v>270</v>
      </c>
      <c r="C77" t="s">
        <v>265</v>
      </c>
      <c r="D77">
        <v>311930739</v>
      </c>
      <c r="E77">
        <v>1487909625.03</v>
      </c>
      <c r="F77">
        <f>SUM($D$77+$E$77)</f>
        <v>1799840364.03</v>
      </c>
      <c r="G77">
        <v>311930739</v>
      </c>
      <c r="H77">
        <v>1487909625.03</v>
      </c>
      <c r="I77">
        <f t="shared" ref="I77" si="94">SUM($D$77+$E$77)</f>
        <v>1799840364.03</v>
      </c>
      <c r="J77">
        <v>311930739</v>
      </c>
      <c r="K77">
        <v>1487909625.03</v>
      </c>
      <c r="L77">
        <f t="shared" ref="L77" si="95">SUM($D$77+$E$77)</f>
        <v>1799840364.03</v>
      </c>
      <c r="M77">
        <v>311930739</v>
      </c>
      <c r="N77">
        <v>1487909625.03</v>
      </c>
      <c r="O77">
        <f t="shared" ref="O77" si="96">SUM($D$77+$E$77)</f>
        <v>1799840364.03</v>
      </c>
      <c r="P77">
        <v>311930739</v>
      </c>
      <c r="Q77">
        <v>1487909625.03</v>
      </c>
      <c r="R77">
        <f t="shared" ref="R77" si="97">SUM($D$77+$E$77)</f>
        <v>1799840364.03</v>
      </c>
      <c r="S77">
        <v>311930739</v>
      </c>
      <c r="T77">
        <v>1487909625.03</v>
      </c>
      <c r="U77">
        <f t="shared" ref="U77" si="98">SUM($D$77+$E$77)</f>
        <v>1799840364.03</v>
      </c>
      <c r="V77">
        <v>311930739</v>
      </c>
      <c r="W77">
        <v>1487909625.03</v>
      </c>
      <c r="X77">
        <f t="shared" ref="X77" si="99">SUM($D$77+$E$77)</f>
        <v>1799840364.03</v>
      </c>
      <c r="Y77">
        <v>311930739</v>
      </c>
      <c r="Z77">
        <v>1487909625.03</v>
      </c>
      <c r="AA77">
        <f t="shared" ref="AA77" si="100">SUM($D$77+$E$77)</f>
        <v>1799840364.03</v>
      </c>
      <c r="AB77">
        <v>311930739</v>
      </c>
      <c r="AC77">
        <v>1487909625.03</v>
      </c>
      <c r="AD77">
        <f t="shared" ref="AD77" si="101">SUM($D$77+$E$77)</f>
        <v>1799840364.03</v>
      </c>
      <c r="AE77">
        <v>311930739</v>
      </c>
      <c r="AF77">
        <v>1487909625.03</v>
      </c>
      <c r="AG77">
        <f t="shared" ref="AG77" si="102">SUM($D$77+$E$77)</f>
        <v>1799840364.03</v>
      </c>
      <c r="AH77">
        <v>311930739</v>
      </c>
      <c r="AI77">
        <v>1487909625.03</v>
      </c>
      <c r="AJ77">
        <f t="shared" ref="AJ77" si="103">SUM($D$77+$E$77)</f>
        <v>1799840364.03</v>
      </c>
    </row>
    <row r="78" spans="2:36">
      <c r="B78" t="s">
        <v>271</v>
      </c>
      <c r="C78" t="s">
        <v>267</v>
      </c>
      <c r="D78">
        <v>75399399</v>
      </c>
      <c r="E78">
        <v>155752538.51429999</v>
      </c>
      <c r="F78">
        <f>SUM($D$78+$E$78)</f>
        <v>231151937.51429999</v>
      </c>
      <c r="G78">
        <v>75399399</v>
      </c>
      <c r="H78">
        <v>155752538.51429999</v>
      </c>
      <c r="I78">
        <f t="shared" ref="I78" si="104">SUM($D$78+$E$78)</f>
        <v>231151937.51429999</v>
      </c>
      <c r="J78">
        <v>75399399</v>
      </c>
      <c r="K78">
        <v>155752538.51429999</v>
      </c>
      <c r="L78">
        <f t="shared" ref="L78" si="105">SUM($D$78+$E$78)</f>
        <v>231151937.51429999</v>
      </c>
      <c r="M78">
        <v>75399399</v>
      </c>
      <c r="N78">
        <v>155752538.51429999</v>
      </c>
      <c r="O78">
        <f t="shared" ref="O78" si="106">SUM($D$78+$E$78)</f>
        <v>231151937.51429999</v>
      </c>
      <c r="P78">
        <v>75399399</v>
      </c>
      <c r="Q78">
        <v>155752538.51429999</v>
      </c>
      <c r="R78">
        <f t="shared" ref="R78" si="107">SUM($D$78+$E$78)</f>
        <v>231151937.51429999</v>
      </c>
      <c r="S78">
        <v>75399399</v>
      </c>
      <c r="T78">
        <v>155752538.51429999</v>
      </c>
      <c r="U78">
        <f t="shared" ref="U78" si="108">SUM($D$78+$E$78)</f>
        <v>231151937.51429999</v>
      </c>
      <c r="V78">
        <v>75399399</v>
      </c>
      <c r="W78">
        <v>155752538.51429999</v>
      </c>
      <c r="X78">
        <f t="shared" ref="X78" si="109">SUM($D$78+$E$78)</f>
        <v>231151937.51429999</v>
      </c>
      <c r="Y78">
        <v>75399399</v>
      </c>
      <c r="Z78">
        <v>155752538.51429999</v>
      </c>
      <c r="AA78">
        <f t="shared" ref="AA78" si="110">SUM($D$78+$E$78)</f>
        <v>231151937.51429999</v>
      </c>
      <c r="AB78">
        <v>75399399</v>
      </c>
      <c r="AC78">
        <v>155752538.51429999</v>
      </c>
      <c r="AD78">
        <f t="shared" ref="AD78" si="111">SUM($D$78+$E$78)</f>
        <v>231151937.51429999</v>
      </c>
      <c r="AE78">
        <v>75399399</v>
      </c>
      <c r="AF78">
        <v>155752538.51429999</v>
      </c>
      <c r="AG78">
        <f t="shared" ref="AG78" si="112">SUM($D$78+$E$78)</f>
        <v>231151937.51429999</v>
      </c>
      <c r="AH78">
        <v>75399399</v>
      </c>
      <c r="AI78">
        <v>155752538.51429999</v>
      </c>
      <c r="AJ78">
        <f t="shared" ref="AJ78" si="113">SUM($D$78+$E$78)</f>
        <v>231151937.51429999</v>
      </c>
    </row>
    <row r="79" spans="2:36">
      <c r="B79" s="2" t="s">
        <v>278</v>
      </c>
      <c r="C79" t="s">
        <v>272</v>
      </c>
      <c r="D79">
        <v>203450578</v>
      </c>
      <c r="E79">
        <v>303059980.98879999</v>
      </c>
      <c r="F79">
        <f>SUM($D$79+$E$79)</f>
        <v>506510558.98879999</v>
      </c>
      <c r="G79">
        <v>203450578</v>
      </c>
      <c r="H79">
        <v>303059980.98879999</v>
      </c>
      <c r="I79">
        <f t="shared" ref="I79" si="114">SUM($D$79+$E$79)</f>
        <v>506510558.98879999</v>
      </c>
      <c r="J79">
        <v>203450578</v>
      </c>
      <c r="K79">
        <v>303059980.98879999</v>
      </c>
      <c r="L79">
        <f t="shared" ref="L79" si="115">SUM($D$79+$E$79)</f>
        <v>506510558.98879999</v>
      </c>
      <c r="M79">
        <v>203450578</v>
      </c>
      <c r="N79">
        <v>303059980.98879999</v>
      </c>
      <c r="O79">
        <f t="shared" ref="O79" si="116">SUM($D$79+$E$79)</f>
        <v>506510558.98879999</v>
      </c>
      <c r="P79">
        <v>203450578</v>
      </c>
      <c r="Q79">
        <v>303059980.98879999</v>
      </c>
      <c r="R79">
        <f t="shared" ref="R79" si="117">SUM($D$79+$E$79)</f>
        <v>506510558.98879999</v>
      </c>
      <c r="S79">
        <v>203450578</v>
      </c>
      <c r="T79">
        <v>303059980.98879999</v>
      </c>
      <c r="U79">
        <f t="shared" ref="U79" si="118">SUM($D$79+$E$79)</f>
        <v>506510558.98879999</v>
      </c>
      <c r="V79">
        <v>203450578</v>
      </c>
      <c r="W79">
        <v>303059980.98879999</v>
      </c>
      <c r="X79">
        <f t="shared" ref="X79" si="119">SUM($D$79+$E$79)</f>
        <v>506510558.98879999</v>
      </c>
      <c r="Y79">
        <v>203450578</v>
      </c>
      <c r="Z79">
        <v>303059980.98879999</v>
      </c>
      <c r="AA79">
        <f t="shared" ref="AA79" si="120">SUM($D$79+$E$79)</f>
        <v>506510558.98879999</v>
      </c>
      <c r="AB79">
        <v>203450578</v>
      </c>
      <c r="AC79">
        <v>303059980.98879999</v>
      </c>
      <c r="AD79">
        <f t="shared" ref="AD79" si="121">SUM($D$79+$E$79)</f>
        <v>506510558.98879999</v>
      </c>
      <c r="AE79">
        <v>203450578</v>
      </c>
      <c r="AF79">
        <v>303059980.98879999</v>
      </c>
      <c r="AG79">
        <f t="shared" ref="AG79" si="122">SUM($D$79+$E$79)</f>
        <v>506510558.98879999</v>
      </c>
      <c r="AH79">
        <v>203450578</v>
      </c>
      <c r="AI79">
        <v>303059980.98879999</v>
      </c>
      <c r="AJ79">
        <f t="shared" ref="AJ79" si="123">SUM($D$79+$E$79)</f>
        <v>506510558.98879999</v>
      </c>
    </row>
    <row r="80" spans="2:36">
      <c r="B80" s="2" t="s">
        <v>279</v>
      </c>
      <c r="C80" t="s">
        <v>275</v>
      </c>
      <c r="D80">
        <v>49327371</v>
      </c>
      <c r="E80">
        <v>41227816.6818</v>
      </c>
      <c r="F80">
        <f>SUM($D$80+$E$80)</f>
        <v>90555187.681800008</v>
      </c>
      <c r="G80">
        <v>49327371</v>
      </c>
      <c r="H80">
        <v>41227816.6818</v>
      </c>
      <c r="I80">
        <f t="shared" ref="I80" si="124">SUM($D$80+$E$80)</f>
        <v>90555187.681800008</v>
      </c>
      <c r="J80">
        <v>49327371</v>
      </c>
      <c r="K80">
        <v>41227816.6818</v>
      </c>
      <c r="L80">
        <f t="shared" ref="L80" si="125">SUM($D$80+$E$80)</f>
        <v>90555187.681800008</v>
      </c>
      <c r="M80">
        <v>49327371</v>
      </c>
      <c r="N80">
        <v>41227816.6818</v>
      </c>
      <c r="O80">
        <f t="shared" ref="O80" si="126">SUM($D$80+$E$80)</f>
        <v>90555187.681800008</v>
      </c>
      <c r="P80">
        <v>49327371</v>
      </c>
      <c r="Q80">
        <v>41227816.6818</v>
      </c>
      <c r="R80">
        <f t="shared" ref="R80" si="127">SUM($D$80+$E$80)</f>
        <v>90555187.681800008</v>
      </c>
      <c r="S80">
        <v>49327371</v>
      </c>
      <c r="T80">
        <v>41227816.6818</v>
      </c>
      <c r="U80">
        <f t="shared" ref="U80" si="128">SUM($D$80+$E$80)</f>
        <v>90555187.681800008</v>
      </c>
      <c r="V80">
        <v>49327371</v>
      </c>
      <c r="W80">
        <v>41227816.6818</v>
      </c>
      <c r="X80">
        <f t="shared" ref="X80" si="129">SUM($D$80+$E$80)</f>
        <v>90555187.681800008</v>
      </c>
      <c r="Y80">
        <v>49327371</v>
      </c>
      <c r="Z80">
        <v>41227816.6818</v>
      </c>
      <c r="AA80">
        <f t="shared" ref="AA80" si="130">SUM($D$80+$E$80)</f>
        <v>90555187.681800008</v>
      </c>
      <c r="AB80">
        <v>49327371</v>
      </c>
      <c r="AC80">
        <v>41227816.6818</v>
      </c>
      <c r="AD80">
        <f t="shared" ref="AD80" si="131">SUM($D$80+$E$80)</f>
        <v>90555187.681800008</v>
      </c>
      <c r="AE80">
        <v>49327371</v>
      </c>
      <c r="AF80">
        <v>41227816.6818</v>
      </c>
      <c r="AG80">
        <f t="shared" ref="AG80" si="132">SUM($D$80+$E$80)</f>
        <v>90555187.681800008</v>
      </c>
      <c r="AH80">
        <v>49327371</v>
      </c>
      <c r="AI80">
        <v>41227816.6818</v>
      </c>
      <c r="AJ80">
        <f t="shared" ref="AJ80" si="133">SUM($D$80+$E$80)</f>
        <v>90555187.681800008</v>
      </c>
    </row>
    <row r="81" spans="2:36">
      <c r="B81" s="2" t="s">
        <v>280</v>
      </c>
      <c r="C81" t="s">
        <v>277</v>
      </c>
      <c r="D81">
        <v>721516374</v>
      </c>
      <c r="E81">
        <v>3629660271.0444002</v>
      </c>
      <c r="F81">
        <f>SUM($D$81+$E$81)</f>
        <v>4351176645.0444002</v>
      </c>
      <c r="G81">
        <v>721516374</v>
      </c>
      <c r="H81">
        <v>3629660271.0444002</v>
      </c>
      <c r="I81">
        <f t="shared" ref="I81" si="134">SUM($D$81+$E$81)</f>
        <v>4351176645.0444002</v>
      </c>
      <c r="J81">
        <v>721516374</v>
      </c>
      <c r="K81">
        <v>3629660271.0444002</v>
      </c>
      <c r="L81">
        <f t="shared" ref="L81" si="135">SUM($D$81+$E$81)</f>
        <v>4351176645.0444002</v>
      </c>
      <c r="M81">
        <v>721516374</v>
      </c>
      <c r="N81">
        <v>3629660271.0444002</v>
      </c>
      <c r="O81">
        <f t="shared" ref="O81" si="136">SUM($D$81+$E$81)</f>
        <v>4351176645.0444002</v>
      </c>
      <c r="P81">
        <v>721516374</v>
      </c>
      <c r="Q81">
        <v>3629660271.0444002</v>
      </c>
      <c r="R81">
        <f t="shared" ref="R81" si="137">SUM($D$81+$E$81)</f>
        <v>4351176645.0444002</v>
      </c>
      <c r="S81">
        <v>721516374</v>
      </c>
      <c r="T81">
        <v>3629660271.0444002</v>
      </c>
      <c r="U81">
        <f t="shared" ref="U81" si="138">SUM($D$81+$E$81)</f>
        <v>4351176645.0444002</v>
      </c>
      <c r="V81">
        <v>721516374</v>
      </c>
      <c r="W81">
        <v>3629660271.0444002</v>
      </c>
      <c r="X81">
        <f t="shared" ref="X81" si="139">SUM($D$81+$E$81)</f>
        <v>4351176645.0444002</v>
      </c>
      <c r="Y81">
        <v>721516374</v>
      </c>
      <c r="Z81">
        <v>3629660271.0444002</v>
      </c>
      <c r="AA81">
        <f t="shared" ref="AA81" si="140">SUM($D$81+$E$81)</f>
        <v>4351176645.0444002</v>
      </c>
      <c r="AB81">
        <v>721516374</v>
      </c>
      <c r="AC81">
        <v>3629660271.0444002</v>
      </c>
      <c r="AD81">
        <f t="shared" ref="AD81" si="141">SUM($D$81+$E$81)</f>
        <v>4351176645.0444002</v>
      </c>
      <c r="AE81">
        <v>721516374</v>
      </c>
      <c r="AF81">
        <v>3629660271.0444002</v>
      </c>
      <c r="AG81">
        <f t="shared" ref="AG81" si="142">SUM($D$81+$E$81)</f>
        <v>4351176645.0444002</v>
      </c>
      <c r="AH81">
        <v>721516374</v>
      </c>
      <c r="AI81">
        <v>3629660271.0444002</v>
      </c>
      <c r="AJ81">
        <f t="shared" ref="AJ81" si="143">SUM($D$81+$E$81)</f>
        <v>4351176645.0444002</v>
      </c>
    </row>
    <row r="82" spans="2:36">
      <c r="B82" t="s">
        <v>283</v>
      </c>
      <c r="C82" t="s">
        <v>282</v>
      </c>
      <c r="D82">
        <v>813638701</v>
      </c>
      <c r="E82">
        <v>7117792720.2180996</v>
      </c>
      <c r="F82">
        <f>SUM($D$82+$E$82)</f>
        <v>7931431421.2180996</v>
      </c>
      <c r="G82">
        <v>813638701</v>
      </c>
      <c r="H82">
        <v>7117792720.2180996</v>
      </c>
      <c r="I82">
        <f t="shared" ref="I82:AJ82" si="144">SUM($D$82+$E$82)</f>
        <v>7931431421.2180996</v>
      </c>
      <c r="J82">
        <v>813638701</v>
      </c>
      <c r="K82">
        <v>7117792720.2180996</v>
      </c>
      <c r="L82">
        <f t="shared" ref="L82:AJ82" si="145">SUM($D$82+$E$82)</f>
        <v>7931431421.2180996</v>
      </c>
      <c r="M82">
        <v>813638701</v>
      </c>
      <c r="N82">
        <v>7117792720.2180996</v>
      </c>
      <c r="O82">
        <f t="shared" ref="O82:AJ82" si="146">SUM($D$82+$E$82)</f>
        <v>7931431421.2180996</v>
      </c>
      <c r="P82">
        <v>813638701</v>
      </c>
      <c r="Q82">
        <v>7117792720.2180996</v>
      </c>
      <c r="R82">
        <f t="shared" ref="R82:AJ82" si="147">SUM($D$82+$E$82)</f>
        <v>7931431421.2180996</v>
      </c>
      <c r="S82">
        <v>813638701</v>
      </c>
      <c r="T82">
        <v>7117792720.2180996</v>
      </c>
      <c r="U82">
        <f t="shared" ref="U82:AJ82" si="148">SUM($D$82+$E$82)</f>
        <v>7931431421.2180996</v>
      </c>
      <c r="V82">
        <v>813638701</v>
      </c>
      <c r="W82">
        <v>7117792720.2180996</v>
      </c>
      <c r="X82">
        <f t="shared" ref="X82:AJ82" si="149">SUM($D$82+$E$82)</f>
        <v>7931431421.2180996</v>
      </c>
      <c r="Y82">
        <v>813638701</v>
      </c>
      <c r="Z82">
        <v>7117792720.2180996</v>
      </c>
      <c r="AA82">
        <f t="shared" ref="AA82:AJ82" si="150">SUM($D$82+$E$82)</f>
        <v>7931431421.2180996</v>
      </c>
      <c r="AB82">
        <v>813638701</v>
      </c>
      <c r="AC82">
        <v>7117792720.2180996</v>
      </c>
      <c r="AD82">
        <f t="shared" ref="AD82:AJ82" si="151">SUM($D$82+$E$82)</f>
        <v>7931431421.2180996</v>
      </c>
      <c r="AE82">
        <v>813638701</v>
      </c>
      <c r="AF82">
        <v>7117792720.2180996</v>
      </c>
      <c r="AG82">
        <f t="shared" ref="AG82:AJ82" si="152">SUM($D$82+$E$82)</f>
        <v>7931431421.2180996</v>
      </c>
      <c r="AH82">
        <v>813638701</v>
      </c>
      <c r="AI82">
        <v>7117792720.2180996</v>
      </c>
      <c r="AJ82">
        <f t="shared" ref="AJ82" si="153">SUM($D$82+$E$82)</f>
        <v>7931431421.2180996</v>
      </c>
    </row>
    <row r="84" spans="2:36">
      <c r="B84" s="2"/>
    </row>
    <row r="86" spans="2:36">
      <c r="B86" s="2"/>
    </row>
    <row r="87" spans="2:36">
      <c r="B87" s="1"/>
    </row>
    <row r="89" spans="2:36">
      <c r="B89" s="2"/>
    </row>
    <row r="90" spans="2:36">
      <c r="B90" s="3"/>
    </row>
    <row r="92" spans="2:36">
      <c r="B92" s="1"/>
    </row>
    <row r="93" spans="2:36">
      <c r="B93" s="2"/>
    </row>
    <row r="94" spans="2:36">
      <c r="B94" s="2"/>
    </row>
    <row r="95" spans="2:36">
      <c r="B95" s="2"/>
    </row>
    <row r="97" spans="2:3">
      <c r="B97" s="2"/>
      <c r="C97" s="2"/>
    </row>
    <row r="100" spans="2:3">
      <c r="B100" s="2"/>
    </row>
    <row r="102" spans="2:3">
      <c r="B102" s="2"/>
    </row>
    <row r="104" spans="2:3">
      <c r="B104" s="2"/>
      <c r="C104" s="2"/>
    </row>
    <row r="106" spans="2:3">
      <c r="B106" s="2"/>
    </row>
    <row r="108" spans="2:3">
      <c r="B108" s="2"/>
    </row>
    <row r="109" spans="2:3">
      <c r="C109" s="2"/>
    </row>
    <row r="111" spans="2:3">
      <c r="B111" s="2"/>
    </row>
    <row r="112" spans="2:3">
      <c r="B112" s="2"/>
    </row>
    <row r="114" spans="2:2">
      <c r="B114" s="2"/>
    </row>
    <row r="115" spans="2:2">
      <c r="B115" s="2"/>
    </row>
    <row r="117" spans="2:2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162</v>
      </c>
      <c r="B1" s="5" t="s">
        <v>163</v>
      </c>
    </row>
    <row r="2" spans="1:2" ht="21">
      <c r="A2" s="6" t="s">
        <v>281</v>
      </c>
      <c r="B2" s="7" t="s">
        <v>283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10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2" sqref="A2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164</v>
      </c>
      <c r="B1" s="5" t="s">
        <v>165</v>
      </c>
    </row>
    <row r="2" spans="1:21" ht="21">
      <c r="A2" s="6" t="s">
        <v>283</v>
      </c>
      <c r="B2" s="13">
        <v>7995481227.2181005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/>
  <cols>
    <col min="1" max="1" width="10" style="15" bestFit="1" customWidth="1"/>
    <col min="2" max="2" width="23.28515625" style="15" bestFit="1" customWidth="1"/>
    <col min="3" max="3" width="27.42578125" style="15" bestFit="1" customWidth="1"/>
    <col min="4" max="4" width="24.85546875" style="15" bestFit="1" customWidth="1"/>
    <col min="5" max="5" width="12.28515625" style="15" bestFit="1" customWidth="1"/>
    <col min="6" max="6" width="29" style="15" bestFit="1" customWidth="1"/>
    <col min="7" max="7" width="13" style="15" bestFit="1" customWidth="1"/>
    <col min="8" max="8" width="13" style="15" customWidth="1"/>
    <col min="9" max="9" width="29" style="15" bestFit="1" customWidth="1"/>
    <col min="10" max="10" width="13" style="15" bestFit="1" customWidth="1"/>
    <col min="11" max="11" width="1.5703125" style="15" customWidth="1"/>
    <col min="12" max="12" width="11.42578125" style="15" bestFit="1" customWidth="1"/>
    <col min="13" max="13" width="12.28515625" style="15" bestFit="1" customWidth="1"/>
    <col min="14" max="14" width="27.42578125" style="15" bestFit="1" customWidth="1"/>
    <col min="15" max="15" width="13" style="15" bestFit="1" customWidth="1"/>
    <col min="16" max="16384" width="9.140625" style="15"/>
  </cols>
  <sheetData>
    <row r="1" spans="1:13">
      <c r="B1" s="16" t="s">
        <v>176</v>
      </c>
      <c r="C1" s="17" t="s">
        <v>177</v>
      </c>
      <c r="D1" s="17" t="s">
        <v>178</v>
      </c>
      <c r="E1" s="18" t="s">
        <v>180</v>
      </c>
      <c r="F1" s="16" t="s">
        <v>179</v>
      </c>
      <c r="G1" s="18" t="s">
        <v>180</v>
      </c>
    </row>
    <row r="2" spans="1:13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18"/>
    </row>
    <row r="3" spans="1:13">
      <c r="A3" s="26">
        <v>45599</v>
      </c>
      <c r="B3" s="27">
        <v>12251953579</v>
      </c>
      <c r="C3" s="27">
        <v>72412119703.697403</v>
      </c>
      <c r="D3" s="27">
        <v>84664073282.697403</v>
      </c>
      <c r="E3" s="28">
        <f>(D3/D2)-1</f>
        <v>0.554639948435387</v>
      </c>
      <c r="F3" s="27">
        <f>C21</f>
        <v>9367388175111</v>
      </c>
      <c r="G3" s="29"/>
    </row>
    <row r="4" spans="1:13">
      <c r="A4" s="26">
        <v>45627</v>
      </c>
      <c r="B4" s="27">
        <v>20311041254</v>
      </c>
      <c r="C4" s="27">
        <v>130331898314.60237</v>
      </c>
      <c r="D4" s="27">
        <v>150642939568.60236</v>
      </c>
      <c r="E4" s="28">
        <f>(D4/D3)-1</f>
        <v>0.77930181867813464</v>
      </c>
      <c r="F4" s="27">
        <f>F21</f>
        <v>14423683909608</v>
      </c>
      <c r="G4" s="29">
        <f>(F4/F3)-1</f>
        <v>0.53977647130408202</v>
      </c>
      <c r="K4" s="40"/>
    </row>
    <row r="5" spans="1:13">
      <c r="A5" s="33">
        <v>45637</v>
      </c>
      <c r="B5" s="34">
        <v>27568617066</v>
      </c>
      <c r="C5" s="34">
        <v>176357359077.21179</v>
      </c>
      <c r="D5" s="34">
        <v>203925976143.21182</v>
      </c>
      <c r="E5" s="35">
        <f>(D5/D4)-1</f>
        <v>0.35370417443523472</v>
      </c>
      <c r="F5" s="34"/>
      <c r="G5" s="35"/>
      <c r="H5" s="47"/>
      <c r="K5" s="40"/>
    </row>
    <row r="6" spans="1:13">
      <c r="A6" s="44" t="s">
        <v>201</v>
      </c>
      <c r="B6" s="43">
        <f>B5-B4</f>
        <v>7257575812</v>
      </c>
      <c r="C6" s="43">
        <f>C5-C4</f>
        <v>46025460762.609421</v>
      </c>
      <c r="D6" s="43">
        <f>D5-D4</f>
        <v>53283036574.609467</v>
      </c>
      <c r="E6" s="45"/>
      <c r="F6" s="43">
        <f>F4-F3</f>
        <v>5056295734497</v>
      </c>
      <c r="G6" s="46"/>
      <c r="H6" s="47"/>
    </row>
    <row r="7" spans="1:13" ht="276.75" customHeight="1"/>
    <row r="8" spans="1:13">
      <c r="B8" s="50">
        <v>45599</v>
      </c>
      <c r="C8" s="51"/>
      <c r="D8" s="52"/>
      <c r="E8" s="51">
        <v>45627</v>
      </c>
      <c r="F8" s="51"/>
      <c r="G8" s="52"/>
      <c r="H8" s="51">
        <v>45636</v>
      </c>
      <c r="I8" s="51"/>
      <c r="J8" s="52"/>
      <c r="K8" s="48"/>
      <c r="L8" s="53" t="s">
        <v>199</v>
      </c>
      <c r="M8" s="53"/>
    </row>
    <row r="9" spans="1:13">
      <c r="A9" s="22" t="s">
        <v>193</v>
      </c>
      <c r="B9" s="23" t="s">
        <v>194</v>
      </c>
      <c r="C9" s="24" t="s">
        <v>192</v>
      </c>
      <c r="D9" s="25" t="s">
        <v>195</v>
      </c>
      <c r="E9" s="24" t="s">
        <v>194</v>
      </c>
      <c r="F9" s="24" t="s">
        <v>192</v>
      </c>
      <c r="G9" s="25" t="s">
        <v>195</v>
      </c>
      <c r="H9" s="24" t="s">
        <v>194</v>
      </c>
      <c r="I9" s="24" t="s">
        <v>192</v>
      </c>
      <c r="J9" s="25" t="s">
        <v>195</v>
      </c>
      <c r="L9" s="15" t="s">
        <v>194</v>
      </c>
      <c r="M9" s="15" t="s">
        <v>200</v>
      </c>
    </row>
    <row r="10" spans="1:13">
      <c r="A10" s="30" t="s">
        <v>181</v>
      </c>
      <c r="B10" s="31">
        <v>30</v>
      </c>
      <c r="C10" s="27">
        <v>1548603167792</v>
      </c>
      <c r="D10" s="32"/>
      <c r="E10" s="15">
        <v>30</v>
      </c>
      <c r="F10" s="27">
        <v>1502097804235</v>
      </c>
      <c r="G10" s="32"/>
      <c r="H10" s="15">
        <v>30</v>
      </c>
      <c r="I10" s="27">
        <v>1759290107.25</v>
      </c>
      <c r="J10" s="32"/>
      <c r="K10" s="49"/>
      <c r="L10" s="40">
        <f>(H10/E10)-1</f>
        <v>0</v>
      </c>
      <c r="M10" s="40"/>
    </row>
    <row r="11" spans="1:13">
      <c r="A11" s="30" t="s">
        <v>182</v>
      </c>
      <c r="B11" s="31">
        <v>250</v>
      </c>
      <c r="C11" s="27">
        <v>208697426935</v>
      </c>
      <c r="D11" s="32"/>
      <c r="E11" s="15">
        <v>250</v>
      </c>
      <c r="F11" s="27">
        <v>206167253798</v>
      </c>
      <c r="G11" s="32"/>
      <c r="H11" s="15">
        <v>250</v>
      </c>
      <c r="I11" s="27">
        <v>125932215.358</v>
      </c>
      <c r="J11" s="32"/>
      <c r="K11" s="49"/>
      <c r="L11" s="40">
        <f t="shared" ref="L11:L20" si="0">(H11/E11)-1</f>
        <v>0</v>
      </c>
      <c r="M11" s="40"/>
    </row>
    <row r="12" spans="1:13">
      <c r="A12" s="30" t="s">
        <v>183</v>
      </c>
      <c r="B12" s="31">
        <v>80</v>
      </c>
      <c r="C12" s="27">
        <v>1297662855427</v>
      </c>
      <c r="D12" s="32">
        <v>13.600000000000001</v>
      </c>
      <c r="E12" s="15">
        <v>80</v>
      </c>
      <c r="F12" s="27">
        <v>1302568301015</v>
      </c>
      <c r="G12" s="32">
        <v>16.8</v>
      </c>
      <c r="H12" s="15">
        <v>80</v>
      </c>
      <c r="I12" s="27">
        <v>1634983755.9679999</v>
      </c>
      <c r="J12" s="32">
        <v>16.8</v>
      </c>
      <c r="K12" s="49"/>
      <c r="L12" s="40">
        <f t="shared" si="0"/>
        <v>0</v>
      </c>
      <c r="M12" s="40">
        <f>(J12/G12)-1</f>
        <v>0</v>
      </c>
    </row>
    <row r="13" spans="1:13">
      <c r="A13" s="30" t="s">
        <v>184</v>
      </c>
      <c r="B13" s="31">
        <v>130</v>
      </c>
      <c r="C13" s="27">
        <v>2047287373871</v>
      </c>
      <c r="D13" s="32">
        <v>19.5</v>
      </c>
      <c r="E13" s="15">
        <v>60</v>
      </c>
      <c r="F13" s="27">
        <v>2012167325881</v>
      </c>
      <c r="G13" s="32">
        <v>25.2</v>
      </c>
      <c r="H13" s="15">
        <v>50</v>
      </c>
      <c r="I13" s="27">
        <v>1772464005.566</v>
      </c>
      <c r="J13" s="32">
        <v>25.2</v>
      </c>
      <c r="K13" s="49"/>
      <c r="L13" s="40">
        <f t="shared" si="0"/>
        <v>-0.16666666666666663</v>
      </c>
      <c r="M13" s="40">
        <f t="shared" ref="M13:M20" si="1">(J13/G13)-1</f>
        <v>0</v>
      </c>
    </row>
    <row r="14" spans="1:13">
      <c r="A14" s="30" t="s">
        <v>185</v>
      </c>
      <c r="B14" s="31">
        <v>2.0000000000000001E-4</v>
      </c>
      <c r="C14" s="27">
        <v>12085680872</v>
      </c>
      <c r="D14" s="32">
        <v>13.746352</v>
      </c>
      <c r="E14" s="15">
        <v>2.2000000000000001E-4</v>
      </c>
      <c r="F14" s="27">
        <v>1704527581437</v>
      </c>
      <c r="G14" s="32">
        <v>21.222341800000002</v>
      </c>
      <c r="H14" s="15">
        <v>2.2000000000000001E-4</v>
      </c>
      <c r="I14" s="27">
        <v>1825404392.4119999</v>
      </c>
      <c r="J14" s="32">
        <v>21.222341800000002</v>
      </c>
      <c r="K14" s="49"/>
      <c r="L14" s="40">
        <f t="shared" si="0"/>
        <v>0</v>
      </c>
      <c r="M14" s="40">
        <f t="shared" si="1"/>
        <v>0</v>
      </c>
    </row>
    <row r="15" spans="1:13">
      <c r="A15" s="30" t="s">
        <v>186</v>
      </c>
      <c r="B15" s="31">
        <v>1.8E-3</v>
      </c>
      <c r="C15" s="27">
        <v>479952872411</v>
      </c>
      <c r="D15" s="32">
        <v>4.4214120000000001</v>
      </c>
      <c r="E15" s="15">
        <v>6.0000000000000001E-3</v>
      </c>
      <c r="F15" s="27">
        <v>1720775968166</v>
      </c>
      <c r="G15" s="32">
        <v>22.238040000000002</v>
      </c>
      <c r="H15" s="15">
        <v>6.0000000000000001E-3</v>
      </c>
      <c r="I15" s="27">
        <v>1622701741.665</v>
      </c>
      <c r="J15" s="32">
        <v>22.238040000000002</v>
      </c>
      <c r="K15" s="49"/>
      <c r="L15" s="40">
        <f t="shared" si="0"/>
        <v>0</v>
      </c>
      <c r="M15" s="40">
        <f t="shared" si="1"/>
        <v>0</v>
      </c>
    </row>
    <row r="16" spans="1:13">
      <c r="A16" s="30" t="s">
        <v>187</v>
      </c>
      <c r="B16" s="31">
        <v>2.8000000000000001E-2</v>
      </c>
      <c r="C16" s="27">
        <v>1223789587623</v>
      </c>
      <c r="D16" s="32">
        <v>15.62372</v>
      </c>
      <c r="E16" s="15">
        <v>2.5000000000000001E-2</v>
      </c>
      <c r="F16" s="27">
        <v>1247222939191</v>
      </c>
      <c r="G16" s="32">
        <v>16.365000000000002</v>
      </c>
      <c r="H16" s="15">
        <v>2.5999999999999999E-2</v>
      </c>
      <c r="I16" s="27">
        <v>1418667829.635</v>
      </c>
      <c r="J16" s="32">
        <v>16.365000000000002</v>
      </c>
      <c r="K16" s="49"/>
      <c r="L16" s="40">
        <f t="shared" si="0"/>
        <v>3.9999999999999813E-2</v>
      </c>
      <c r="M16" s="40">
        <f t="shared" si="1"/>
        <v>0</v>
      </c>
    </row>
    <row r="17" spans="1:13">
      <c r="A17" s="30" t="s">
        <v>188</v>
      </c>
      <c r="B17" s="31">
        <v>9</v>
      </c>
      <c r="C17" s="27">
        <v>435521914006</v>
      </c>
      <c r="D17" s="32">
        <v>2.61</v>
      </c>
      <c r="E17" s="15">
        <v>35</v>
      </c>
      <c r="F17" s="27">
        <v>1042715534192</v>
      </c>
      <c r="G17" s="32">
        <v>21</v>
      </c>
      <c r="H17" s="15">
        <v>32</v>
      </c>
      <c r="I17" s="27">
        <v>1442402830.997</v>
      </c>
      <c r="J17" s="32">
        <v>21</v>
      </c>
      <c r="K17" s="49"/>
      <c r="L17" s="40">
        <f t="shared" si="0"/>
        <v>-8.5714285714285743E-2</v>
      </c>
      <c r="M17" s="40">
        <f t="shared" si="1"/>
        <v>0</v>
      </c>
    </row>
    <row r="18" spans="1:13">
      <c r="A18" s="30" t="s">
        <v>189</v>
      </c>
      <c r="B18" s="31">
        <v>0.08</v>
      </c>
      <c r="C18" s="27">
        <v>1087209850989</v>
      </c>
      <c r="D18" s="32">
        <v>12.9968</v>
      </c>
      <c r="E18" s="15">
        <v>0.08</v>
      </c>
      <c r="F18" s="27">
        <v>1052273875232</v>
      </c>
      <c r="G18" s="32">
        <v>19.0184</v>
      </c>
      <c r="H18" s="15">
        <v>0.1</v>
      </c>
      <c r="I18" s="27">
        <v>1574349133.8269999</v>
      </c>
      <c r="J18" s="32">
        <v>19.0184</v>
      </c>
      <c r="K18" s="49"/>
      <c r="L18" s="40">
        <f t="shared" si="0"/>
        <v>0.25</v>
      </c>
      <c r="M18" s="40">
        <f t="shared" si="1"/>
        <v>0</v>
      </c>
    </row>
    <row r="19" spans="1:13">
      <c r="A19" s="30" t="s">
        <v>190</v>
      </c>
      <c r="B19" s="31">
        <v>0</v>
      </c>
      <c r="C19" s="27">
        <v>0</v>
      </c>
      <c r="D19" s="32">
        <v>0</v>
      </c>
      <c r="E19" s="15">
        <v>12</v>
      </c>
      <c r="F19" s="27">
        <v>1118898900974</v>
      </c>
      <c r="G19" s="32">
        <v>28.32</v>
      </c>
      <c r="H19" s="15">
        <v>12</v>
      </c>
      <c r="I19" s="27">
        <v>1702738907.1689999</v>
      </c>
      <c r="J19" s="32">
        <v>28.32</v>
      </c>
      <c r="K19" s="49"/>
      <c r="L19" s="40">
        <f t="shared" si="0"/>
        <v>0</v>
      </c>
      <c r="M19" s="40">
        <f t="shared" si="1"/>
        <v>0</v>
      </c>
    </row>
    <row r="20" spans="1:13">
      <c r="A20" s="30" t="s">
        <v>191</v>
      </c>
      <c r="B20" s="31">
        <v>0.24</v>
      </c>
      <c r="C20" s="27">
        <v>1026577445185</v>
      </c>
      <c r="D20" s="32">
        <v>16.041599999999999</v>
      </c>
      <c r="E20" s="15">
        <v>0.3</v>
      </c>
      <c r="F20" s="27">
        <v>1514268425487</v>
      </c>
      <c r="G20" s="32">
        <v>30.839999999999996</v>
      </c>
      <c r="H20" s="15">
        <v>0.3</v>
      </c>
      <c r="I20" s="27">
        <v>1929042690.7980001</v>
      </c>
      <c r="J20" s="32">
        <v>30.839999999999996</v>
      </c>
      <c r="K20" s="49"/>
      <c r="L20" s="40">
        <f t="shared" si="0"/>
        <v>0</v>
      </c>
      <c r="M20" s="40">
        <f t="shared" si="1"/>
        <v>0</v>
      </c>
    </row>
    <row r="21" spans="1:13">
      <c r="A21" s="22" t="s">
        <v>196</v>
      </c>
      <c r="B21" s="36"/>
      <c r="C21" s="43">
        <f>SUM(C10:C20)</f>
        <v>9367388175111</v>
      </c>
      <c r="D21" s="37">
        <v>98.539884000000015</v>
      </c>
      <c r="E21" s="38"/>
      <c r="F21" s="43">
        <f>SUM(F10:F20)</f>
        <v>14423683909608</v>
      </c>
      <c r="G21" s="37">
        <v>201.00378179999998</v>
      </c>
      <c r="H21" s="38"/>
      <c r="I21" s="43">
        <f>SUM(I10:I20)</f>
        <v>16807977610.645</v>
      </c>
      <c r="J21" s="37">
        <v>201.00378179999998</v>
      </c>
      <c r="K21" s="49"/>
      <c r="L21" s="41">
        <f>AVERAGE(L10:L20)</f>
        <v>3.4199134199134036E-3</v>
      </c>
      <c r="M21" s="42">
        <f t="shared" ref="M21" si="2">(G21/D21)-1</f>
        <v>1.0398215792500829</v>
      </c>
    </row>
    <row r="24" spans="1:13">
      <c r="J24" s="39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2024-12-20T23:14:50Z</dcterms:modified>
</cp:coreProperties>
</file>