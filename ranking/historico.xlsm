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LIANA\Downloads\"/>
    </mc:Choice>
  </mc:AlternateContent>
  <xr:revisionPtr revIDLastSave="0" documentId="13_ncr:1_{4D9436DD-B913-406B-8DCB-91924E47301B}" xr6:coauthVersionLast="47" xr6:coauthVersionMax="47" xr10:uidLastSave="{00000000-0000-0000-0000-000000000000}"/>
  <bookViews>
    <workbookView xWindow="-120" yWindow="-120" windowWidth="20730" windowHeight="1104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1" i="3" l="1"/>
  <c r="O17" i="3"/>
  <c r="O47" i="3"/>
  <c r="O46" i="3"/>
  <c r="O45" i="3"/>
  <c r="O27" i="3"/>
  <c r="O21" i="3"/>
  <c r="O55" i="3"/>
  <c r="O54" i="3"/>
  <c r="O53" i="3"/>
  <c r="O52" i="3"/>
  <c r="O50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1" i="3"/>
  <c r="L37" i="3"/>
  <c r="L33" i="3"/>
  <c r="L31" i="3"/>
  <c r="L23" i="3"/>
  <c r="L15" i="3"/>
  <c r="L13" i="3"/>
  <c r="L54" i="3"/>
  <c r="L40" i="3"/>
  <c r="L28" i="3"/>
  <c r="L27" i="3"/>
  <c r="L24" i="3"/>
  <c r="L20" i="3"/>
  <c r="L16" i="3"/>
  <c r="L55" i="3"/>
  <c r="L53" i="3"/>
  <c r="L52" i="3"/>
  <c r="L50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<sst xmlns="http://schemas.openxmlformats.org/spreadsheetml/2006/main" count="457" uniqueCount="173">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</sst>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11" fontId="0" fillId="0" borderId="0" xfId="0" applyNumberForma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5"/>
  <sheetViews>
    <sheetView tabSelected="1" workbookViewId="0"/>
  </sheetViews>
  <sheetFormatPr defaultRowHeight="14.25"/>
  <cols>
    <col min="1" max="1" width="26.625" bestFit="1" customWidth="1"/>
    <col min="2" max="2" width="16" bestFit="1" customWidth="1"/>
    <col min="3" max="3" width="24" customWidth="1"/>
    <col min="4" max="4" width="12.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4995602313.7577</v>
      </c>
      <c r="D2">
        <v>1</v>
      </c>
      <c r="E2" t="s">
        <v>66</v>
      </c>
    </row>
    <row r="3" spans="1:5">
      <c r="A3" s="2" t="s">
        <v>46</v>
      </c>
      <c r="B3" t="s">
        <v>45</v>
      </c>
      <c r="C3" s="2">
        <v>4486737078.0619001</v>
      </c>
      <c r="D3">
        <v>2</v>
      </c>
      <c r="E3" t="s">
        <v>67</v>
      </c>
    </row>
    <row r="4" spans="1:5">
      <c r="A4" s="2" t="s">
        <v>24</v>
      </c>
      <c r="B4" t="s">
        <v>20</v>
      </c>
      <c r="C4" s="2">
        <v>4308325189.9591999</v>
      </c>
      <c r="D4">
        <v>3</v>
      </c>
      <c r="E4" t="s">
        <v>65</v>
      </c>
    </row>
    <row r="5" spans="1:5">
      <c r="A5" t="s">
        <v>122</v>
      </c>
      <c r="B5" t="s">
        <v>123</v>
      </c>
      <c r="C5">
        <v>4052415011.0941997</v>
      </c>
      <c r="D5">
        <v>4</v>
      </c>
      <c r="E5" t="s">
        <v>169</v>
      </c>
    </row>
    <row r="6" spans="1:5">
      <c r="A6" s="1" t="s">
        <v>5</v>
      </c>
      <c r="B6" t="s">
        <v>3</v>
      </c>
      <c r="C6" s="2">
        <v>3516576054.6454</v>
      </c>
      <c r="D6">
        <v>5</v>
      </c>
      <c r="E6" t="s">
        <v>3</v>
      </c>
    </row>
    <row r="7" spans="1:5">
      <c r="A7" s="2" t="s">
        <v>44</v>
      </c>
      <c r="B7" t="s">
        <v>43</v>
      </c>
      <c r="C7" s="2">
        <v>2548016151.0064001</v>
      </c>
      <c r="D7">
        <v>6</v>
      </c>
      <c r="E7" t="s">
        <v>43</v>
      </c>
    </row>
    <row r="8" spans="1:5">
      <c r="A8" s="1" t="s">
        <v>1</v>
      </c>
      <c r="B8" t="s">
        <v>0</v>
      </c>
      <c r="C8" s="2">
        <v>2489815868.2179003</v>
      </c>
      <c r="D8">
        <v>7</v>
      </c>
      <c r="E8" t="s">
        <v>0</v>
      </c>
    </row>
    <row r="9" spans="1:5">
      <c r="A9" s="2" t="s">
        <v>48</v>
      </c>
      <c r="B9" s="2" t="s">
        <v>47</v>
      </c>
      <c r="C9" s="2">
        <v>1729690636.7565999</v>
      </c>
      <c r="D9">
        <v>8</v>
      </c>
      <c r="E9" t="s">
        <v>68</v>
      </c>
    </row>
    <row r="10" spans="1:5">
      <c r="A10" s="2" t="s">
        <v>95</v>
      </c>
      <c r="B10" t="s">
        <v>94</v>
      </c>
      <c r="C10" s="2">
        <v>1684702595.0736001</v>
      </c>
      <c r="D10">
        <v>9</v>
      </c>
      <c r="E10" t="s">
        <v>137</v>
      </c>
    </row>
    <row r="11" spans="1:5">
      <c r="A11" t="s">
        <v>141</v>
      </c>
      <c r="B11" t="s">
        <v>142</v>
      </c>
      <c r="C11">
        <v>1553518760.016</v>
      </c>
      <c r="D11">
        <v>10</v>
      </c>
      <c r="E11" t="s">
        <v>143</v>
      </c>
    </row>
    <row r="12" spans="1:5">
      <c r="A12" s="2" t="s">
        <v>60</v>
      </c>
      <c r="B12" t="s">
        <v>106</v>
      </c>
      <c r="C12" s="2">
        <v>1383386065.4957001</v>
      </c>
      <c r="D12">
        <v>11</v>
      </c>
      <c r="E12" t="s">
        <v>59</v>
      </c>
    </row>
    <row r="13" spans="1:5">
      <c r="A13" t="s">
        <v>134</v>
      </c>
      <c r="B13" t="s">
        <v>135</v>
      </c>
      <c r="C13">
        <v>1097067719.6752</v>
      </c>
      <c r="D13">
        <v>12</v>
      </c>
      <c r="E13" t="s">
        <v>136</v>
      </c>
    </row>
    <row r="14" spans="1:5">
      <c r="A14" s="2" t="s">
        <v>50</v>
      </c>
      <c r="B14" t="s">
        <v>49</v>
      </c>
      <c r="C14" s="2">
        <v>1048255053.1604</v>
      </c>
      <c r="D14">
        <v>13</v>
      </c>
      <c r="E14" t="s">
        <v>71</v>
      </c>
    </row>
    <row r="15" spans="1:5">
      <c r="A15" s="16" t="s">
        <v>171</v>
      </c>
      <c r="B15" t="s">
        <v>172</v>
      </c>
      <c r="C15">
        <v>1046170510.4848</v>
      </c>
      <c r="D15">
        <v>14</v>
      </c>
      <c r="E15" t="s">
        <v>170</v>
      </c>
    </row>
    <row r="16" spans="1:5">
      <c r="A16" t="s">
        <v>125</v>
      </c>
      <c r="B16" t="s">
        <v>126</v>
      </c>
      <c r="C16">
        <v>988766321.42400002</v>
      </c>
      <c r="D16">
        <v>15</v>
      </c>
      <c r="E16" t="s">
        <v>127</v>
      </c>
    </row>
    <row r="17" spans="1:5">
      <c r="A17" t="s">
        <v>131</v>
      </c>
      <c r="B17" t="s">
        <v>132</v>
      </c>
      <c r="C17">
        <v>952466064.37699997</v>
      </c>
      <c r="D17">
        <v>16</v>
      </c>
      <c r="E17" t="s">
        <v>133</v>
      </c>
    </row>
    <row r="18" spans="1:5">
      <c r="A18" s="2" t="s">
        <v>29</v>
      </c>
      <c r="B18" t="s">
        <v>27</v>
      </c>
      <c r="C18" s="2">
        <v>872573181.472</v>
      </c>
      <c r="D18">
        <v>17</v>
      </c>
      <c r="E18" t="s">
        <v>72</v>
      </c>
    </row>
    <row r="19" spans="1:5">
      <c r="A19" s="2" t="s">
        <v>40</v>
      </c>
      <c r="B19" t="s">
        <v>39</v>
      </c>
      <c r="C19" s="2">
        <v>852447875.69679999</v>
      </c>
      <c r="D19">
        <v>18</v>
      </c>
      <c r="E19" t="s">
        <v>69</v>
      </c>
    </row>
    <row r="20" spans="1:5">
      <c r="A20" t="s">
        <v>6</v>
      </c>
      <c r="B20" t="s">
        <v>4</v>
      </c>
      <c r="C20" s="2">
        <v>849867345.71280003</v>
      </c>
      <c r="D20">
        <v>19</v>
      </c>
      <c r="E20" t="s">
        <v>4</v>
      </c>
    </row>
    <row r="21" spans="1:5">
      <c r="A21" s="3" t="s">
        <v>90</v>
      </c>
      <c r="B21" t="s">
        <v>88</v>
      </c>
      <c r="C21" s="2">
        <v>770327245.62720001</v>
      </c>
      <c r="D21">
        <v>20</v>
      </c>
      <c r="E21" t="s">
        <v>89</v>
      </c>
    </row>
    <row r="22" spans="1:5">
      <c r="A22" t="s">
        <v>154</v>
      </c>
      <c r="B22" t="s">
        <v>155</v>
      </c>
      <c r="C22">
        <v>740340379.54140007</v>
      </c>
      <c r="D22">
        <v>21</v>
      </c>
      <c r="E22" t="s">
        <v>156</v>
      </c>
    </row>
    <row r="23" spans="1:5">
      <c r="A23" t="s">
        <v>97</v>
      </c>
      <c r="B23" t="s">
        <v>98</v>
      </c>
      <c r="C23">
        <v>619295338.53400004</v>
      </c>
      <c r="D23">
        <v>22</v>
      </c>
      <c r="E23" t="s">
        <v>99</v>
      </c>
    </row>
    <row r="24" spans="1:5">
      <c r="A24" s="2" t="s">
        <v>28</v>
      </c>
      <c r="B24" t="s">
        <v>26</v>
      </c>
      <c r="C24" s="2">
        <v>539666829.44789994</v>
      </c>
      <c r="D24">
        <v>23</v>
      </c>
      <c r="E24" t="s">
        <v>70</v>
      </c>
    </row>
    <row r="25" spans="1:5">
      <c r="A25" t="s">
        <v>107</v>
      </c>
      <c r="B25" t="s">
        <v>108</v>
      </c>
      <c r="C25">
        <v>532028815.48119998</v>
      </c>
      <c r="D25">
        <v>24</v>
      </c>
      <c r="E25" t="s">
        <v>109</v>
      </c>
    </row>
    <row r="26" spans="1:5">
      <c r="A26" s="2" t="s">
        <v>93</v>
      </c>
      <c r="B26" t="s">
        <v>91</v>
      </c>
      <c r="C26" s="2">
        <v>517479169.60280001</v>
      </c>
      <c r="D26">
        <v>25</v>
      </c>
      <c r="E26" t="s">
        <v>92</v>
      </c>
    </row>
    <row r="27" spans="1:5">
      <c r="A27" t="s">
        <v>138</v>
      </c>
      <c r="B27" t="s">
        <v>139</v>
      </c>
      <c r="C27">
        <v>461867268.54000002</v>
      </c>
      <c r="D27">
        <v>26</v>
      </c>
      <c r="E27" t="s">
        <v>140</v>
      </c>
    </row>
    <row r="28" spans="1:5">
      <c r="A28" t="s">
        <v>144</v>
      </c>
      <c r="B28" t="s">
        <v>150</v>
      </c>
      <c r="C28">
        <v>457979811.48799998</v>
      </c>
      <c r="D28">
        <v>27</v>
      </c>
      <c r="E28" t="s">
        <v>146</v>
      </c>
    </row>
    <row r="29" spans="1:5">
      <c r="A29" t="s">
        <v>113</v>
      </c>
      <c r="B29" t="s">
        <v>114</v>
      </c>
      <c r="C29">
        <v>442499941.14399999</v>
      </c>
      <c r="D29">
        <v>28</v>
      </c>
      <c r="E29" t="s">
        <v>115</v>
      </c>
    </row>
    <row r="30" spans="1:5">
      <c r="A30" t="s">
        <v>110</v>
      </c>
      <c r="B30" t="s">
        <v>111</v>
      </c>
      <c r="C30">
        <v>412509425.08059996</v>
      </c>
      <c r="D30">
        <v>29</v>
      </c>
      <c r="E30" t="s">
        <v>112</v>
      </c>
    </row>
    <row r="31" spans="1:5">
      <c r="A31" s="2" t="s">
        <v>23</v>
      </c>
      <c r="B31" t="s">
        <v>18</v>
      </c>
      <c r="C31" s="2">
        <v>374262082.69700003</v>
      </c>
      <c r="D31">
        <v>30</v>
      </c>
      <c r="E31" t="s">
        <v>78</v>
      </c>
    </row>
    <row r="32" spans="1:5">
      <c r="A32" t="s">
        <v>100</v>
      </c>
      <c r="B32" t="s">
        <v>101</v>
      </c>
      <c r="C32">
        <v>366693364.81600004</v>
      </c>
      <c r="D32">
        <v>31</v>
      </c>
      <c r="E32" t="s">
        <v>102</v>
      </c>
    </row>
    <row r="33" spans="1:5">
      <c r="A33" s="2" t="s">
        <v>14</v>
      </c>
      <c r="B33" t="s">
        <v>12</v>
      </c>
      <c r="C33" s="2">
        <v>304800227.3585</v>
      </c>
      <c r="D33">
        <v>32</v>
      </c>
      <c r="E33" t="s">
        <v>73</v>
      </c>
    </row>
    <row r="34" spans="1:5">
      <c r="A34" s="2" t="s">
        <v>64</v>
      </c>
      <c r="B34" t="s">
        <v>63</v>
      </c>
      <c r="C34" s="2">
        <v>303133932.33359998</v>
      </c>
      <c r="D34">
        <v>33</v>
      </c>
      <c r="E34" t="s">
        <v>76</v>
      </c>
    </row>
    <row r="35" spans="1:5">
      <c r="A35" t="s">
        <v>147</v>
      </c>
      <c r="B35" t="s">
        <v>148</v>
      </c>
      <c r="C35">
        <v>290934067.35699999</v>
      </c>
      <c r="D35">
        <v>34</v>
      </c>
      <c r="E35" t="s">
        <v>149</v>
      </c>
    </row>
    <row r="36" spans="1:5">
      <c r="A36" s="2" t="s">
        <v>15</v>
      </c>
      <c r="B36" t="s">
        <v>11</v>
      </c>
      <c r="C36" s="2">
        <v>280458999.93699998</v>
      </c>
      <c r="D36">
        <v>35</v>
      </c>
      <c r="E36" t="s">
        <v>79</v>
      </c>
    </row>
    <row r="37" spans="1:5">
      <c r="A37" s="2" t="s">
        <v>37</v>
      </c>
      <c r="B37" t="s">
        <v>38</v>
      </c>
      <c r="C37" s="2">
        <v>238562257.164</v>
      </c>
      <c r="D37">
        <v>36</v>
      </c>
      <c r="E37" t="s">
        <v>75</v>
      </c>
    </row>
    <row r="38" spans="1:5">
      <c r="A38" s="2" t="s">
        <v>52</v>
      </c>
      <c r="B38" s="2" t="s">
        <v>51</v>
      </c>
      <c r="C38" s="2">
        <v>210546819.02829999</v>
      </c>
      <c r="D38">
        <v>37</v>
      </c>
      <c r="E38" t="s">
        <v>83</v>
      </c>
    </row>
    <row r="39" spans="1:5">
      <c r="A39" t="s">
        <v>116</v>
      </c>
      <c r="B39" t="s">
        <v>117</v>
      </c>
      <c r="C39">
        <v>209628040.64400002</v>
      </c>
      <c r="D39">
        <v>38</v>
      </c>
      <c r="E39" t="s">
        <v>118</v>
      </c>
    </row>
    <row r="40" spans="1:5">
      <c r="A40" s="2" t="s">
        <v>41</v>
      </c>
      <c r="B40" s="2" t="s">
        <v>42</v>
      </c>
      <c r="C40" s="2">
        <v>188673528.1464</v>
      </c>
      <c r="D40">
        <v>39</v>
      </c>
      <c r="E40" t="s">
        <v>77</v>
      </c>
    </row>
    <row r="41" spans="1:5">
      <c r="A41" t="s">
        <v>58</v>
      </c>
      <c r="B41" s="2" t="s">
        <v>57</v>
      </c>
      <c r="C41" s="2">
        <v>168920522.04499999</v>
      </c>
      <c r="D41">
        <v>40</v>
      </c>
      <c r="E41" t="s">
        <v>74</v>
      </c>
    </row>
    <row r="42" spans="1:5">
      <c r="A42" t="s">
        <v>119</v>
      </c>
      <c r="B42" t="s">
        <v>120</v>
      </c>
      <c r="C42">
        <v>151959500.4368</v>
      </c>
      <c r="D42">
        <v>41</v>
      </c>
      <c r="E42" t="s">
        <v>121</v>
      </c>
    </row>
    <row r="43" spans="1:5">
      <c r="A43" t="s">
        <v>167</v>
      </c>
      <c r="B43" t="s">
        <v>168</v>
      </c>
      <c r="C43">
        <v>133137932.76719999</v>
      </c>
      <c r="D43">
        <v>42</v>
      </c>
      <c r="E43" t="s">
        <v>166</v>
      </c>
    </row>
    <row r="44" spans="1:5">
      <c r="A44" s="2" t="s">
        <v>16</v>
      </c>
      <c r="B44" t="s">
        <v>13</v>
      </c>
      <c r="C44" s="2">
        <v>113363259.5125</v>
      </c>
      <c r="D44">
        <v>43</v>
      </c>
      <c r="E44" t="s">
        <v>81</v>
      </c>
    </row>
    <row r="45" spans="1:5">
      <c r="A45" s="2" t="s">
        <v>22</v>
      </c>
      <c r="B45" t="s">
        <v>17</v>
      </c>
      <c r="C45" s="2">
        <v>109950319.63000001</v>
      </c>
      <c r="D45">
        <v>44</v>
      </c>
      <c r="E45" t="s">
        <v>82</v>
      </c>
    </row>
    <row r="46" spans="1:5">
      <c r="A46" s="2" t="s">
        <v>36</v>
      </c>
      <c r="B46" t="s">
        <v>35</v>
      </c>
      <c r="C46" s="2">
        <v>103721106.3496</v>
      </c>
      <c r="D46">
        <v>45</v>
      </c>
      <c r="E46" t="s">
        <v>87</v>
      </c>
    </row>
    <row r="47" spans="1:5">
      <c r="A47" s="2" t="s">
        <v>21</v>
      </c>
      <c r="B47" t="s">
        <v>19</v>
      </c>
      <c r="C47" s="2">
        <v>101647082.38079999</v>
      </c>
      <c r="D47">
        <v>46</v>
      </c>
      <c r="E47" t="s">
        <v>84</v>
      </c>
    </row>
    <row r="48" spans="1:5">
      <c r="A48" s="2" t="s">
        <v>30</v>
      </c>
      <c r="B48" t="s">
        <v>25</v>
      </c>
      <c r="C48" s="2">
        <v>93033085.622400001</v>
      </c>
      <c r="D48">
        <v>47</v>
      </c>
      <c r="E48" t="s">
        <v>80</v>
      </c>
    </row>
    <row r="49" spans="1:5">
      <c r="A49" t="s">
        <v>151</v>
      </c>
      <c r="B49" t="s">
        <v>145</v>
      </c>
      <c r="C49">
        <v>73253942.337500006</v>
      </c>
      <c r="D49">
        <v>48</v>
      </c>
      <c r="E49" t="s">
        <v>152</v>
      </c>
    </row>
    <row r="50" spans="1:5">
      <c r="A50" s="2" t="s">
        <v>54</v>
      </c>
      <c r="B50" t="s">
        <v>53</v>
      </c>
      <c r="C50" s="2">
        <v>60170985.725400001</v>
      </c>
      <c r="D50">
        <v>49</v>
      </c>
      <c r="E50" t="s">
        <v>86</v>
      </c>
    </row>
    <row r="51" spans="1:5">
      <c r="A51" s="2" t="s">
        <v>62</v>
      </c>
      <c r="B51" t="s">
        <v>61</v>
      </c>
      <c r="C51" s="2">
        <v>37229308.735399999</v>
      </c>
      <c r="D51">
        <v>50</v>
      </c>
      <c r="E51" t="s">
        <v>153</v>
      </c>
    </row>
    <row r="52" spans="1:5">
      <c r="A52" s="2" t="s">
        <v>34</v>
      </c>
      <c r="B52" t="s">
        <v>33</v>
      </c>
      <c r="C52" s="2">
        <v>32994832.4727</v>
      </c>
      <c r="D52">
        <v>51</v>
      </c>
      <c r="E52" t="s">
        <v>96</v>
      </c>
    </row>
    <row r="53" spans="1:5">
      <c r="A53" s="3" t="s">
        <v>56</v>
      </c>
      <c r="B53" t="s">
        <v>55</v>
      </c>
      <c r="C53" s="2">
        <v>28640855.541999999</v>
      </c>
      <c r="D53">
        <v>52</v>
      </c>
      <c r="E53" t="s">
        <v>85</v>
      </c>
    </row>
    <row r="54" spans="1:5">
      <c r="A54" t="s">
        <v>128</v>
      </c>
      <c r="B54" t="s">
        <v>129</v>
      </c>
      <c r="C54">
        <v>27933573.588</v>
      </c>
      <c r="D54">
        <v>53</v>
      </c>
      <c r="E54" t="s">
        <v>130</v>
      </c>
    </row>
    <row r="55" spans="1:5">
      <c r="A55" s="17" t="s">
        <v>103</v>
      </c>
      <c r="B55" t="s">
        <v>104</v>
      </c>
      <c r="C55">
        <v>1335317.9140000001</v>
      </c>
      <c r="D55">
        <v>54</v>
      </c>
      <c r="E55" t="s">
        <v>105</v>
      </c>
    </row>
  </sheetData>
  <autoFilter ref="A1:E1" xr:uid="{F35CEFC1-B3C5-47E8-B313-C5CF74631A2D}">
    <sortState xmlns:xlrd2="http://schemas.microsoft.com/office/spreadsheetml/2017/richdata2" ref="A2:E55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G8" sqref="G8"/>
    </sheetView>
  </sheetViews>
  <sheetFormatPr defaultRowHeight="14.25"/>
  <cols>
    <col min="1" max="1" width="26.625" bestFit="1" customWidth="1"/>
    <col min="2" max="3" width="16" bestFit="1" customWidth="1"/>
    <col min="4" max="4" width="8.125" bestFit="1" customWidth="1"/>
    <col min="5" max="6" width="12" bestFit="1" customWidth="1"/>
    <col min="7" max="7" width="10.37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P55"/>
  <sheetViews>
    <sheetView workbookViewId="0">
      <selection activeCell="M9" sqref="M9"/>
    </sheetView>
  </sheetViews>
  <sheetFormatPr defaultRowHeight="14.25"/>
  <cols>
    <col min="1" max="1" width="30.375" customWidth="1"/>
    <col min="2" max="2" width="25.125" bestFit="1" customWidth="1"/>
    <col min="3" max="3" width="14.875" bestFit="1" customWidth="1"/>
    <col min="4" max="4" width="11.625" bestFit="1" customWidth="1"/>
    <col min="5" max="5" width="12.625" bestFit="1" customWidth="1"/>
    <col min="6" max="6" width="19.625" bestFit="1" customWidth="1"/>
    <col min="7" max="7" width="11.625" bestFit="1" customWidth="1"/>
    <col min="8" max="8" width="12.625" bestFit="1" customWidth="1"/>
    <col min="9" max="9" width="11.875" bestFit="1" customWidth="1"/>
    <col min="10" max="10" width="10.125" bestFit="1" customWidth="1"/>
    <col min="11" max="11" width="11.875" bestFit="1" customWidth="1"/>
    <col min="12" max="12" width="10.875" bestFit="1" customWidth="1"/>
    <col min="13" max="13" width="11.625" bestFit="1" customWidth="1"/>
    <col min="14" max="14" width="12.625" bestFit="1" customWidth="1"/>
    <col min="15" max="15" width="11.875" bestFit="1" customWidth="1"/>
    <col min="16" max="16" width="10.125" bestFit="1" customWidth="1"/>
    <col min="19" max="19" width="10.125" bestFit="1" customWidth="1"/>
  </cols>
  <sheetData>
    <row r="1" spans="1:16">
      <c r="A1" s="4"/>
      <c r="D1" s="4">
        <v>45539</v>
      </c>
      <c r="G1" s="4">
        <v>45548</v>
      </c>
      <c r="J1" s="4">
        <v>45566</v>
      </c>
      <c r="M1" s="4">
        <v>45574</v>
      </c>
      <c r="P1" s="4"/>
    </row>
    <row r="2" spans="1:16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</row>
    <row r="3" spans="1:16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</row>
    <row r="4" spans="1:16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</row>
    <row r="5" spans="1:16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</row>
    <row r="6" spans="1:16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</row>
    <row r="7" spans="1:16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</row>
    <row r="8" spans="1:16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</row>
    <row r="9" spans="1:16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</row>
    <row r="10" spans="1:16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</row>
    <row r="11" spans="1:16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</row>
    <row r="12" spans="1:16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</row>
    <row r="13" spans="1:16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</row>
    <row r="14" spans="1:16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</row>
    <row r="15" spans="1:16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</row>
    <row r="16" spans="1:16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</row>
    <row r="17" spans="2:15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</row>
    <row r="18" spans="2:15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</row>
    <row r="19" spans="2:15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</row>
    <row r="20" spans="2:15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</row>
    <row r="21" spans="2:15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</row>
    <row r="22" spans="2:15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</row>
    <row r="23" spans="2:15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</row>
    <row r="24" spans="2:15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</row>
    <row r="25" spans="2:15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</row>
    <row r="26" spans="2:15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</row>
    <row r="27" spans="2:15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</row>
    <row r="28" spans="2:15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</row>
    <row r="29" spans="2:15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</row>
    <row r="30" spans="2:15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</row>
    <row r="31" spans="2:15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</row>
    <row r="32" spans="2:15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</row>
    <row r="33" spans="2:15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</row>
    <row r="34" spans="2:15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</row>
    <row r="35" spans="2:15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</row>
    <row r="36" spans="2:15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</row>
    <row r="37" spans="2:15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</row>
    <row r="38" spans="2:15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</row>
    <row r="39" spans="2:15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</row>
    <row r="40" spans="2:15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</row>
    <row r="41" spans="2:15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</row>
    <row r="42" spans="2:15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</row>
    <row r="43" spans="2:15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</row>
    <row r="44" spans="2:15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</row>
    <row r="45" spans="2:15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</row>
    <row r="46" spans="2:15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</row>
    <row r="47" spans="2:15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</row>
    <row r="48" spans="2:15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</row>
    <row r="49" spans="2:15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  <c r="J49">
        <v>21543497</v>
      </c>
      <c r="K49">
        <v>9890619.4726999998</v>
      </c>
      <c r="L49">
        <f>SUM($J$49+$K$49)</f>
        <v>31434116.4727</v>
      </c>
      <c r="M49">
        <v>21543497</v>
      </c>
      <c r="N49">
        <v>9890619.4726999998</v>
      </c>
      <c r="O49">
        <f>SUM($M$49+$N$49)</f>
        <v>31434116.4727</v>
      </c>
    </row>
    <row r="50" spans="2:15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  <c r="J50">
        <v>17876245</v>
      </c>
      <c r="K50">
        <v>10575586.541999999</v>
      </c>
      <c r="L50">
        <f>SUM($J$50+$K$50)</f>
        <v>28451831.541999999</v>
      </c>
      <c r="M50">
        <v>17876245</v>
      </c>
      <c r="N50">
        <v>10575586.541999999</v>
      </c>
      <c r="O50">
        <f>SUM($M$50+$N$50)</f>
        <v>28451831.541999999</v>
      </c>
    </row>
    <row r="51" spans="2:15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  <c r="J51">
        <v>17778105</v>
      </c>
      <c r="K51">
        <v>7921923.5880000005</v>
      </c>
      <c r="L51">
        <f>SUM($J$51+$K$51)</f>
        <v>25700028.588</v>
      </c>
      <c r="M51">
        <v>18452805</v>
      </c>
      <c r="N51">
        <v>8025124.8945000004</v>
      </c>
      <c r="O51">
        <f>SUM($M$51+$N$51)</f>
        <v>26477929.894500002</v>
      </c>
    </row>
    <row r="52" spans="2:15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  <c r="J52">
        <v>37466065</v>
      </c>
      <c r="K52">
        <v>33625793.337499999</v>
      </c>
      <c r="L52">
        <f>SUM($J$52+$K$52)</f>
        <v>71091858.337500006</v>
      </c>
      <c r="M52">
        <v>38949680</v>
      </c>
      <c r="N52">
        <v>35541583</v>
      </c>
      <c r="O52">
        <f>SUM($M$52+$N$52)</f>
        <v>74491263</v>
      </c>
    </row>
    <row r="53" spans="2:15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  <c r="J53">
        <v>20183871</v>
      </c>
      <c r="K53">
        <v>16094618.735399999</v>
      </c>
      <c r="L53">
        <f>SUM($J$53+$K$53)</f>
        <v>36278489.735399999</v>
      </c>
      <c r="M53">
        <v>21684496</v>
      </c>
      <c r="N53">
        <v>18071858.966400001</v>
      </c>
      <c r="O53">
        <f>SUM($M$53+$N$53)</f>
        <v>39756354.966399997</v>
      </c>
    </row>
    <row r="54" spans="2:15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  <c r="J54">
        <v>1306180</v>
      </c>
      <c r="K54">
        <v>22596.914000000001</v>
      </c>
      <c r="L54">
        <f>SUM($J$54+$K$54)</f>
        <v>1328776.9140000001</v>
      </c>
      <c r="M54">
        <v>1306180</v>
      </c>
      <c r="N54">
        <v>22596.914000000001</v>
      </c>
      <c r="O54">
        <f>SUM($M$54+$N$54)</f>
        <v>1328776.9140000001</v>
      </c>
    </row>
    <row r="55" spans="2:15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  <c r="J55">
        <v>46505356</v>
      </c>
      <c r="K55">
        <v>82137759.767200008</v>
      </c>
      <c r="L55">
        <f>SUM($J$55+$K$55)</f>
        <v>128643115.76720001</v>
      </c>
      <c r="M55">
        <v>55580356</v>
      </c>
      <c r="N55">
        <v>102612453.2472</v>
      </c>
      <c r="O55">
        <f>SUM($M$55+$N$55)</f>
        <v>158192809.24720001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4.25"/>
  <cols>
    <col min="1" max="1" width="34.25" customWidth="1"/>
    <col min="2" max="2" width="33.875" customWidth="1"/>
  </cols>
  <sheetData>
    <row r="1" spans="1:2" ht="15.75">
      <c r="A1" s="6" t="s">
        <v>162</v>
      </c>
      <c r="B1" s="6" t="s">
        <v>163</v>
      </c>
    </row>
    <row r="2" spans="1:2" ht="20.25">
      <c r="A2" s="7" t="s">
        <v>170</v>
      </c>
      <c r="B2" s="8" t="s">
        <v>171</v>
      </c>
    </row>
    <row r="3" spans="1:2" ht="20.25">
      <c r="A3" s="9"/>
      <c r="B3" s="10"/>
    </row>
    <row r="4" spans="1:2" ht="20.25">
      <c r="A4" s="9"/>
      <c r="B4" s="10"/>
    </row>
    <row r="5" spans="1:2" ht="20.25">
      <c r="A5" s="9"/>
      <c r="B5" s="11"/>
    </row>
    <row r="6" spans="1:2" ht="20.25">
      <c r="A6" s="9"/>
      <c r="B6" s="11"/>
    </row>
    <row r="7" spans="1:2" ht="20.25">
      <c r="A7" s="9"/>
      <c r="B7" s="10"/>
    </row>
    <row r="8" spans="1:2" ht="20.25">
      <c r="A8" s="9"/>
      <c r="B8" s="11"/>
    </row>
    <row r="9" spans="1:2" ht="20.25">
      <c r="A9" s="9"/>
      <c r="B9" s="11"/>
    </row>
    <row r="10" spans="1:2" ht="20.25">
      <c r="A10" s="9"/>
      <c r="B10" s="10"/>
    </row>
    <row r="11" spans="1:2" ht="20.2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4.25"/>
  <cols>
    <col min="1" max="1" width="41.125" customWidth="1"/>
    <col min="2" max="2" width="29.25" customWidth="1"/>
  </cols>
  <sheetData>
    <row r="1" spans="1:21" ht="15.75">
      <c r="A1" s="6" t="s">
        <v>164</v>
      </c>
      <c r="B1" s="6" t="s">
        <v>165</v>
      </c>
    </row>
    <row r="2" spans="1:21" ht="20.25">
      <c r="A2" s="7" t="s">
        <v>171</v>
      </c>
      <c r="B2" s="14">
        <v>1046170510.4848</v>
      </c>
      <c r="L2" s="4"/>
      <c r="O2" s="4"/>
      <c r="R2" s="4"/>
      <c r="U2" s="4"/>
    </row>
    <row r="3" spans="1:21" ht="20.25">
      <c r="A3" s="9"/>
      <c r="B3" s="11"/>
    </row>
    <row r="4" spans="1:21" ht="20.25">
      <c r="A4" s="9"/>
      <c r="B4" s="11"/>
    </row>
    <row r="5" spans="1:21" ht="20.25">
      <c r="A5" s="9"/>
      <c r="B5" s="11"/>
    </row>
    <row r="6" spans="1:21" ht="20.25">
      <c r="A6" s="9"/>
      <c r="B6" s="11"/>
    </row>
    <row r="7" spans="1:21" ht="20.25">
      <c r="A7" s="9"/>
      <c r="B7" s="11"/>
    </row>
    <row r="8" spans="1:21" ht="20.25">
      <c r="A8" s="9"/>
      <c r="B8" s="11"/>
    </row>
    <row r="9" spans="1:21" ht="20.25">
      <c r="A9" s="9"/>
      <c r="B9" s="11"/>
    </row>
    <row r="10" spans="1:21" ht="20.25">
      <c r="A10" s="9"/>
      <c r="B10" s="11"/>
    </row>
    <row r="11" spans="1:21" ht="20.2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1S Reed (CGNA)</cp:lastModifiedBy>
  <dcterms:created xsi:type="dcterms:W3CDTF">2024-07-22T13:11:05Z</dcterms:created>
  <dcterms:modified xsi:type="dcterms:W3CDTF">2024-10-17T10:44:32Z</dcterms:modified>
</cp:coreProperties>
</file>