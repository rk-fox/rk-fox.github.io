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47496D7E-E3C9-47C1-8FBC-B0C1C077B11D}" xr6:coauthVersionLast="47" xr6:coauthVersionMax="47" xr10:uidLastSave="{00000000-0000-0000-0000-000000000000}"/>
  <bookViews>
    <workbookView xWindow="-120" yWindow="-120" windowWidth="29040" windowHeight="15720" activeTab="2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56" i="3" l="1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O56" i="3"/>
  <c r="L56" i="3"/>
  <c r="I56" i="3"/>
  <c r="F56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5" i="3"/>
  <c r="R47" i="3"/>
  <c r="R52" i="3"/>
  <c r="R49" i="3"/>
  <c r="R38" i="3"/>
  <c r="R33" i="3"/>
  <c r="R21" i="3"/>
  <c r="R25" i="3"/>
  <c r="R18" i="3"/>
  <c r="R14" i="3"/>
  <c r="R10" i="3"/>
  <c r="R56" i="3"/>
  <c r="R54" i="3"/>
  <c r="R53" i="3"/>
  <c r="R51" i="3"/>
  <c r="R50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1" i="3"/>
  <c r="O17" i="3"/>
  <c r="O47" i="3"/>
  <c r="O46" i="3"/>
  <c r="O45" i="3"/>
  <c r="O27" i="3"/>
  <c r="O21" i="3"/>
  <c r="O55" i="3"/>
  <c r="O54" i="3"/>
  <c r="O53" i="3"/>
  <c r="O52" i="3"/>
  <c r="O50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<sst xmlns="http://schemas.openxmlformats.org/spreadsheetml/2006/main" count="467" uniqueCount="173">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</sst>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5"/>
  <sheetViews>
    <sheetView workbookViewId="0">
      <selection activeCell="D49" sqref="D49"/>
    </sheetView>
  </sheetViews>
  <sheetFormatPr defaultRowHeight="15" x14ac:dyDescent="0.2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 x14ac:dyDescent="0.2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 x14ac:dyDescent="0.25">
      <c r="A2" s="2" t="s">
        <v>46</v>
      </c>
      <c r="B2" t="s">
        <v>45</v>
      </c>
      <c r="C2" s="2">
        <v>7671816336.9200001</v>
      </c>
      <c r="D2">
        <v>1</v>
      </c>
      <c r="E2" t="s">
        <v>67</v>
      </c>
    </row>
    <row r="3" spans="1:5" x14ac:dyDescent="0.25">
      <c r="A3" s="2" t="s">
        <v>31</v>
      </c>
      <c r="B3" t="s">
        <v>32</v>
      </c>
      <c r="C3" s="2">
        <v>7632843439.8315992</v>
      </c>
      <c r="D3">
        <v>2</v>
      </c>
      <c r="E3" t="s">
        <v>66</v>
      </c>
    </row>
    <row r="4" spans="1:5" x14ac:dyDescent="0.25">
      <c r="A4" s="2" t="s">
        <v>24</v>
      </c>
      <c r="B4" t="s">
        <v>20</v>
      </c>
      <c r="C4" s="2">
        <v>6926891154.7119999</v>
      </c>
      <c r="D4">
        <v>3</v>
      </c>
      <c r="E4" t="s">
        <v>65</v>
      </c>
    </row>
    <row r="5" spans="1:5" x14ac:dyDescent="0.25">
      <c r="A5" s="1" t="s">
        <v>5</v>
      </c>
      <c r="B5" t="s">
        <v>3</v>
      </c>
      <c r="C5" s="2">
        <v>5240594557.4715996</v>
      </c>
      <c r="D5">
        <v>4</v>
      </c>
      <c r="E5" t="s">
        <v>3</v>
      </c>
    </row>
    <row r="6" spans="1:5" x14ac:dyDescent="0.25">
      <c r="A6" s="2" t="s">
        <v>95</v>
      </c>
      <c r="B6" t="s">
        <v>94</v>
      </c>
      <c r="C6" s="2">
        <v>4852724789.9829998</v>
      </c>
      <c r="D6">
        <v>5</v>
      </c>
      <c r="E6" t="s">
        <v>137</v>
      </c>
    </row>
    <row r="7" spans="1:5" x14ac:dyDescent="0.25">
      <c r="A7" s="1" t="s">
        <v>1</v>
      </c>
      <c r="B7" t="s">
        <v>0</v>
      </c>
      <c r="C7" s="2">
        <v>4228382938.7412</v>
      </c>
      <c r="D7">
        <v>6</v>
      </c>
      <c r="E7" t="s">
        <v>0</v>
      </c>
    </row>
    <row r="8" spans="1:5" x14ac:dyDescent="0.25">
      <c r="A8" t="s">
        <v>122</v>
      </c>
      <c r="B8" t="s">
        <v>123</v>
      </c>
      <c r="C8">
        <v>3927739594.5914998</v>
      </c>
      <c r="D8">
        <v>7</v>
      </c>
      <c r="E8" t="s">
        <v>169</v>
      </c>
    </row>
    <row r="9" spans="1:5" x14ac:dyDescent="0.25">
      <c r="A9" s="2" t="s">
        <v>44</v>
      </c>
      <c r="B9" t="s">
        <v>43</v>
      </c>
      <c r="C9" s="2">
        <v>3229286025.6497002</v>
      </c>
      <c r="D9">
        <v>8</v>
      </c>
      <c r="E9" t="s">
        <v>43</v>
      </c>
    </row>
    <row r="10" spans="1:5" x14ac:dyDescent="0.25">
      <c r="A10" s="2" t="s">
        <v>48</v>
      </c>
      <c r="B10" s="2" t="s">
        <v>47</v>
      </c>
      <c r="C10" s="2">
        <v>2519585127.3582001</v>
      </c>
      <c r="D10">
        <v>9</v>
      </c>
      <c r="E10" t="s">
        <v>68</v>
      </c>
    </row>
    <row r="11" spans="1:5" x14ac:dyDescent="0.25">
      <c r="A11" s="2" t="s">
        <v>50</v>
      </c>
      <c r="B11" t="s">
        <v>49</v>
      </c>
      <c r="C11" s="2">
        <v>2383033060.2639999</v>
      </c>
      <c r="D11">
        <v>10</v>
      </c>
      <c r="E11" t="s">
        <v>71</v>
      </c>
    </row>
    <row r="12" spans="1:5" x14ac:dyDescent="0.25">
      <c r="A12" t="s">
        <v>141</v>
      </c>
      <c r="B12" t="s">
        <v>142</v>
      </c>
      <c r="C12">
        <v>2284489458.0159998</v>
      </c>
      <c r="D12">
        <v>11</v>
      </c>
      <c r="E12" t="s">
        <v>143</v>
      </c>
    </row>
    <row r="13" spans="1:5" x14ac:dyDescent="0.25">
      <c r="A13" s="2" t="s">
        <v>60</v>
      </c>
      <c r="B13" t="s">
        <v>106</v>
      </c>
      <c r="C13" s="2">
        <v>1603947448.0006001</v>
      </c>
      <c r="D13">
        <v>12</v>
      </c>
      <c r="E13" t="s">
        <v>59</v>
      </c>
    </row>
    <row r="14" spans="1:5" x14ac:dyDescent="0.25">
      <c r="A14" t="s">
        <v>131</v>
      </c>
      <c r="B14" t="s">
        <v>132</v>
      </c>
      <c r="C14">
        <v>1551151956.8999999</v>
      </c>
      <c r="D14">
        <v>13</v>
      </c>
      <c r="E14" t="s">
        <v>133</v>
      </c>
    </row>
    <row r="15" spans="1:5" x14ac:dyDescent="0.25">
      <c r="A15" t="s">
        <v>6</v>
      </c>
      <c r="B15" t="s">
        <v>4</v>
      </c>
      <c r="C15" s="2">
        <v>1527635544.1656001</v>
      </c>
      <c r="D15">
        <v>14</v>
      </c>
      <c r="E15" t="s">
        <v>4</v>
      </c>
    </row>
    <row r="16" spans="1:5" x14ac:dyDescent="0.25">
      <c r="A16" t="s">
        <v>134</v>
      </c>
      <c r="B16" t="s">
        <v>135</v>
      </c>
      <c r="C16">
        <v>1496859446.1443999</v>
      </c>
      <c r="D16">
        <v>15</v>
      </c>
      <c r="E16" t="s">
        <v>136</v>
      </c>
    </row>
    <row r="17" spans="1:5" x14ac:dyDescent="0.25">
      <c r="A17" s="2" t="s">
        <v>29</v>
      </c>
      <c r="B17" t="s">
        <v>27</v>
      </c>
      <c r="C17" s="2">
        <v>1453573020.6024001</v>
      </c>
      <c r="D17">
        <v>16</v>
      </c>
      <c r="E17" t="s">
        <v>72</v>
      </c>
    </row>
    <row r="18" spans="1:5" x14ac:dyDescent="0.25">
      <c r="A18" t="s">
        <v>107</v>
      </c>
      <c r="B18" t="s">
        <v>108</v>
      </c>
      <c r="C18">
        <v>1426511723.1875999</v>
      </c>
      <c r="D18">
        <v>17</v>
      </c>
      <c r="E18" t="s">
        <v>109</v>
      </c>
    </row>
    <row r="19" spans="1:5" x14ac:dyDescent="0.25">
      <c r="A19" s="1" t="s">
        <v>171</v>
      </c>
      <c r="B19" t="s">
        <v>172</v>
      </c>
      <c r="C19">
        <v>1380282495.0012</v>
      </c>
      <c r="D19">
        <v>18</v>
      </c>
      <c r="E19" t="s">
        <v>170</v>
      </c>
    </row>
    <row r="20" spans="1:5" x14ac:dyDescent="0.25">
      <c r="A20" t="s">
        <v>154</v>
      </c>
      <c r="B20" t="s">
        <v>155</v>
      </c>
      <c r="C20">
        <v>1376877814.8999</v>
      </c>
      <c r="D20">
        <v>19</v>
      </c>
      <c r="E20" t="s">
        <v>156</v>
      </c>
    </row>
    <row r="21" spans="1:5" x14ac:dyDescent="0.25">
      <c r="A21" t="s">
        <v>125</v>
      </c>
      <c r="B21" t="s">
        <v>126</v>
      </c>
      <c r="C21">
        <v>1307636306.9950001</v>
      </c>
      <c r="D21">
        <v>20</v>
      </c>
      <c r="E21" t="s">
        <v>127</v>
      </c>
    </row>
    <row r="22" spans="1:5" x14ac:dyDescent="0.25">
      <c r="A22" s="3" t="s">
        <v>90</v>
      </c>
      <c r="B22" t="s">
        <v>88</v>
      </c>
      <c r="C22" s="2">
        <v>1144930408.3740001</v>
      </c>
      <c r="D22">
        <v>21</v>
      </c>
      <c r="E22" t="s">
        <v>89</v>
      </c>
    </row>
    <row r="23" spans="1:5" x14ac:dyDescent="0.25">
      <c r="A23" s="2" t="s">
        <v>40</v>
      </c>
      <c r="B23" t="s">
        <v>39</v>
      </c>
      <c r="C23" s="2">
        <v>1137940134.1958001</v>
      </c>
      <c r="D23">
        <v>22</v>
      </c>
      <c r="E23" t="s">
        <v>69</v>
      </c>
    </row>
    <row r="24" spans="1:5" x14ac:dyDescent="0.25">
      <c r="A24" t="s">
        <v>113</v>
      </c>
      <c r="B24" t="s">
        <v>114</v>
      </c>
      <c r="C24">
        <v>1135865398.2705002</v>
      </c>
      <c r="D24">
        <v>23</v>
      </c>
      <c r="E24" t="s">
        <v>115</v>
      </c>
    </row>
    <row r="25" spans="1:5" x14ac:dyDescent="0.25">
      <c r="A25" t="s">
        <v>138</v>
      </c>
      <c r="B25" t="s">
        <v>139</v>
      </c>
      <c r="C25">
        <v>1026474478.4709001</v>
      </c>
      <c r="D25">
        <v>24</v>
      </c>
      <c r="E25" t="s">
        <v>140</v>
      </c>
    </row>
    <row r="26" spans="1:5" x14ac:dyDescent="0.25">
      <c r="A26" s="2" t="s">
        <v>93</v>
      </c>
      <c r="B26" t="s">
        <v>91</v>
      </c>
      <c r="C26" s="2">
        <v>935909255.27680004</v>
      </c>
      <c r="D26">
        <v>25</v>
      </c>
      <c r="E26" t="s">
        <v>92</v>
      </c>
    </row>
    <row r="27" spans="1:5" x14ac:dyDescent="0.25">
      <c r="A27" t="s">
        <v>97</v>
      </c>
      <c r="B27" t="s">
        <v>98</v>
      </c>
      <c r="C27">
        <v>919238077.79799998</v>
      </c>
      <c r="D27">
        <v>26</v>
      </c>
      <c r="E27" t="s">
        <v>99</v>
      </c>
    </row>
    <row r="28" spans="1:5" x14ac:dyDescent="0.25">
      <c r="A28" s="2" t="s">
        <v>52</v>
      </c>
      <c r="B28" s="2" t="s">
        <v>51</v>
      </c>
      <c r="C28" s="2">
        <v>802497751.47570002</v>
      </c>
      <c r="D28">
        <v>27</v>
      </c>
      <c r="E28" t="s">
        <v>83</v>
      </c>
    </row>
    <row r="29" spans="1:5" x14ac:dyDescent="0.25">
      <c r="A29" s="2" t="s">
        <v>28</v>
      </c>
      <c r="B29" t="s">
        <v>26</v>
      </c>
      <c r="C29" s="2">
        <v>801967788.5374999</v>
      </c>
      <c r="D29">
        <v>28</v>
      </c>
      <c r="E29" t="s">
        <v>70</v>
      </c>
    </row>
    <row r="30" spans="1:5" x14ac:dyDescent="0.25">
      <c r="A30" t="s">
        <v>144</v>
      </c>
      <c r="B30" t="s">
        <v>150</v>
      </c>
      <c r="C30">
        <v>760512807.04799998</v>
      </c>
      <c r="D30">
        <v>29</v>
      </c>
      <c r="E30" t="s">
        <v>146</v>
      </c>
    </row>
    <row r="31" spans="1:5" x14ac:dyDescent="0.25">
      <c r="A31" s="2" t="s">
        <v>23</v>
      </c>
      <c r="B31" t="s">
        <v>18</v>
      </c>
      <c r="C31" s="2">
        <v>738782340.99199998</v>
      </c>
      <c r="D31">
        <v>30</v>
      </c>
      <c r="E31" t="s">
        <v>78</v>
      </c>
    </row>
    <row r="32" spans="1:5" x14ac:dyDescent="0.25">
      <c r="A32" s="2" t="s">
        <v>15</v>
      </c>
      <c r="B32" t="s">
        <v>11</v>
      </c>
      <c r="C32" s="2">
        <v>697853642.9404</v>
      </c>
      <c r="D32">
        <v>31</v>
      </c>
      <c r="E32" t="s">
        <v>79</v>
      </c>
    </row>
    <row r="33" spans="1:5" x14ac:dyDescent="0.25">
      <c r="A33" t="s">
        <v>110</v>
      </c>
      <c r="B33" t="s">
        <v>111</v>
      </c>
      <c r="C33">
        <v>595886954.3075</v>
      </c>
      <c r="D33">
        <v>32</v>
      </c>
      <c r="E33" t="s">
        <v>112</v>
      </c>
    </row>
    <row r="34" spans="1:5" x14ac:dyDescent="0.25">
      <c r="A34" s="2" t="s">
        <v>64</v>
      </c>
      <c r="B34" t="s">
        <v>63</v>
      </c>
      <c r="C34" s="2">
        <v>587112597.1128</v>
      </c>
      <c r="D34">
        <v>33</v>
      </c>
      <c r="E34" t="s">
        <v>76</v>
      </c>
    </row>
    <row r="35" spans="1:5" x14ac:dyDescent="0.25">
      <c r="A35" t="s">
        <v>147</v>
      </c>
      <c r="B35" t="s">
        <v>148</v>
      </c>
      <c r="C35">
        <v>549337559.93379998</v>
      </c>
      <c r="D35">
        <v>34</v>
      </c>
      <c r="E35" t="s">
        <v>149</v>
      </c>
    </row>
    <row r="36" spans="1:5" x14ac:dyDescent="0.25">
      <c r="A36" t="s">
        <v>116</v>
      </c>
      <c r="B36" t="s">
        <v>117</v>
      </c>
      <c r="C36">
        <v>545283773.65499997</v>
      </c>
      <c r="D36">
        <v>35</v>
      </c>
      <c r="E36" t="s">
        <v>118</v>
      </c>
    </row>
    <row r="37" spans="1:5" x14ac:dyDescent="0.25">
      <c r="A37" t="s">
        <v>100</v>
      </c>
      <c r="B37" t="s">
        <v>101</v>
      </c>
      <c r="C37">
        <v>446969854.59799999</v>
      </c>
      <c r="D37">
        <v>36</v>
      </c>
      <c r="E37" t="s">
        <v>102</v>
      </c>
    </row>
    <row r="38" spans="1:5" x14ac:dyDescent="0.25">
      <c r="A38" t="s">
        <v>167</v>
      </c>
      <c r="B38" t="s">
        <v>168</v>
      </c>
      <c r="C38">
        <v>445583753.3089</v>
      </c>
      <c r="D38">
        <v>37</v>
      </c>
      <c r="E38" t="s">
        <v>166</v>
      </c>
    </row>
    <row r="39" spans="1:5" x14ac:dyDescent="0.25">
      <c r="A39" s="2" t="s">
        <v>37</v>
      </c>
      <c r="B39" t="s">
        <v>38</v>
      </c>
      <c r="C39" s="2">
        <v>420427537.73399997</v>
      </c>
      <c r="D39">
        <v>38</v>
      </c>
      <c r="E39" t="s">
        <v>75</v>
      </c>
    </row>
    <row r="40" spans="1:5" x14ac:dyDescent="0.25">
      <c r="A40" s="2" t="s">
        <v>14</v>
      </c>
      <c r="B40" t="s">
        <v>12</v>
      </c>
      <c r="C40" s="2">
        <v>308976514.05300003</v>
      </c>
      <c r="D40">
        <v>39</v>
      </c>
      <c r="E40" t="s">
        <v>73</v>
      </c>
    </row>
    <row r="41" spans="1:5" x14ac:dyDescent="0.25">
      <c r="A41" s="2" t="s">
        <v>36</v>
      </c>
      <c r="B41" t="s">
        <v>35</v>
      </c>
      <c r="C41" s="2">
        <v>308098013.84000003</v>
      </c>
      <c r="D41">
        <v>40</v>
      </c>
      <c r="E41" t="s">
        <v>87</v>
      </c>
    </row>
    <row r="42" spans="1:5" x14ac:dyDescent="0.25">
      <c r="A42" t="s">
        <v>58</v>
      </c>
      <c r="B42" s="2" t="s">
        <v>57</v>
      </c>
      <c r="C42" s="2">
        <v>297788488.04500002</v>
      </c>
      <c r="D42">
        <v>41</v>
      </c>
      <c r="E42" t="s">
        <v>74</v>
      </c>
    </row>
    <row r="43" spans="1:5" x14ac:dyDescent="0.25">
      <c r="A43" s="2" t="s">
        <v>41</v>
      </c>
      <c r="B43" s="2" t="s">
        <v>42</v>
      </c>
      <c r="C43" s="2">
        <v>262159816.6972</v>
      </c>
      <c r="D43">
        <v>42</v>
      </c>
      <c r="E43" t="s">
        <v>77</v>
      </c>
    </row>
    <row r="44" spans="1:5" x14ac:dyDescent="0.25">
      <c r="A44" s="2" t="s">
        <v>22</v>
      </c>
      <c r="B44" t="s">
        <v>17</v>
      </c>
      <c r="C44" s="2">
        <v>259121662.00599998</v>
      </c>
      <c r="D44">
        <v>43</v>
      </c>
      <c r="E44" t="s">
        <v>82</v>
      </c>
    </row>
    <row r="45" spans="1:5" x14ac:dyDescent="0.25">
      <c r="A45" t="s">
        <v>119</v>
      </c>
      <c r="B45" t="s">
        <v>120</v>
      </c>
      <c r="C45">
        <v>227491614.83840001</v>
      </c>
      <c r="D45">
        <v>44</v>
      </c>
      <c r="E45" t="s">
        <v>121</v>
      </c>
    </row>
    <row r="46" spans="1:5" x14ac:dyDescent="0.25">
      <c r="A46" s="2" t="s">
        <v>21</v>
      </c>
      <c r="B46" t="s">
        <v>19</v>
      </c>
      <c r="C46" s="2">
        <v>200093379.24559999</v>
      </c>
      <c r="D46">
        <v>45</v>
      </c>
      <c r="E46" t="s">
        <v>84</v>
      </c>
    </row>
    <row r="47" spans="1:5" x14ac:dyDescent="0.25">
      <c r="A47" s="2" t="s">
        <v>16</v>
      </c>
      <c r="B47" t="s">
        <v>13</v>
      </c>
      <c r="C47" s="2">
        <v>182643161.01749998</v>
      </c>
      <c r="D47">
        <v>46</v>
      </c>
      <c r="E47" t="s">
        <v>81</v>
      </c>
    </row>
    <row r="48" spans="1:5" x14ac:dyDescent="0.25">
      <c r="A48" t="s">
        <v>151</v>
      </c>
      <c r="B48" t="s">
        <v>145</v>
      </c>
      <c r="C48">
        <v>167626333.01030001</v>
      </c>
      <c r="D48">
        <v>47</v>
      </c>
      <c r="E48" t="s">
        <v>152</v>
      </c>
    </row>
    <row r="49" spans="1:5" x14ac:dyDescent="0.25">
      <c r="A49" s="2" t="s">
        <v>62</v>
      </c>
      <c r="B49" t="s">
        <v>61</v>
      </c>
      <c r="C49" s="2">
        <v>129130724.09439999</v>
      </c>
      <c r="D49">
        <v>48</v>
      </c>
      <c r="E49" t="s">
        <v>153</v>
      </c>
    </row>
    <row r="50" spans="1:5" x14ac:dyDescent="0.25">
      <c r="A50" s="2" t="s">
        <v>30</v>
      </c>
      <c r="B50" t="s">
        <v>25</v>
      </c>
      <c r="C50" s="2">
        <v>95607446.36680001</v>
      </c>
      <c r="D50">
        <v>49</v>
      </c>
      <c r="E50" t="s">
        <v>80</v>
      </c>
    </row>
    <row r="51" spans="1:5" x14ac:dyDescent="0.25">
      <c r="A51" s="2" t="s">
        <v>54</v>
      </c>
      <c r="B51" t="s">
        <v>53</v>
      </c>
      <c r="C51" s="2">
        <v>60170985.725400001</v>
      </c>
      <c r="D51">
        <v>50</v>
      </c>
      <c r="E51" t="s">
        <v>86</v>
      </c>
    </row>
    <row r="52" spans="1:5" x14ac:dyDescent="0.25">
      <c r="A52" t="s">
        <v>128</v>
      </c>
      <c r="B52" t="s">
        <v>129</v>
      </c>
      <c r="C52">
        <v>42407244.259999998</v>
      </c>
      <c r="D52">
        <v>51</v>
      </c>
      <c r="E52" t="s">
        <v>130</v>
      </c>
    </row>
    <row r="53" spans="1:5" x14ac:dyDescent="0.25">
      <c r="A53" s="3" t="s">
        <v>56</v>
      </c>
      <c r="B53" t="s">
        <v>55</v>
      </c>
      <c r="C53" s="2">
        <v>38145411.032499999</v>
      </c>
      <c r="D53">
        <v>52</v>
      </c>
      <c r="E53" t="s">
        <v>85</v>
      </c>
    </row>
    <row r="54" spans="1:5" x14ac:dyDescent="0.25">
      <c r="A54" s="2" t="s">
        <v>34</v>
      </c>
      <c r="B54" t="s">
        <v>33</v>
      </c>
      <c r="C54" s="2">
        <v>32994832.4727</v>
      </c>
      <c r="D54">
        <v>53</v>
      </c>
      <c r="E54" t="s">
        <v>96</v>
      </c>
    </row>
    <row r="55" spans="1:5" x14ac:dyDescent="0.25">
      <c r="A55" t="s">
        <v>103</v>
      </c>
      <c r="B55" t="s">
        <v>104</v>
      </c>
      <c r="C55">
        <v>1335317.9140000001</v>
      </c>
      <c r="D55">
        <v>54</v>
      </c>
      <c r="E55" t="s">
        <v>105</v>
      </c>
    </row>
  </sheetData>
  <autoFilter ref="A1:E1" xr:uid="{F35CEFC1-B3C5-47E8-B313-C5CF74631A2D}">
    <sortState xmlns:xlrd2="http://schemas.microsoft.com/office/spreadsheetml/2017/richdata2" ref="A2:E55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 x14ac:dyDescent="0.25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 x14ac:dyDescent="0.25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 x14ac:dyDescent="0.25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 x14ac:dyDescent="0.25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 x14ac:dyDescent="0.25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 x14ac:dyDescent="0.25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 x14ac:dyDescent="0.25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 x14ac:dyDescent="0.25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 x14ac:dyDescent="0.25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 x14ac:dyDescent="0.25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 x14ac:dyDescent="0.25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 x14ac:dyDescent="0.25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 x14ac:dyDescent="0.25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 x14ac:dyDescent="0.25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 x14ac:dyDescent="0.25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 x14ac:dyDescent="0.25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 x14ac:dyDescent="0.25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 x14ac:dyDescent="0.25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 x14ac:dyDescent="0.25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 x14ac:dyDescent="0.25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 x14ac:dyDescent="0.25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 x14ac:dyDescent="0.25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 x14ac:dyDescent="0.25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 x14ac:dyDescent="0.25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 x14ac:dyDescent="0.25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 x14ac:dyDescent="0.25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 x14ac:dyDescent="0.25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 x14ac:dyDescent="0.25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 x14ac:dyDescent="0.25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 x14ac:dyDescent="0.25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 x14ac:dyDescent="0.25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 x14ac:dyDescent="0.25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 x14ac:dyDescent="0.25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 x14ac:dyDescent="0.25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 x14ac:dyDescent="0.25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 x14ac:dyDescent="0.25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 x14ac:dyDescent="0.25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 x14ac:dyDescent="0.25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 x14ac:dyDescent="0.25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 x14ac:dyDescent="0.25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 x14ac:dyDescent="0.25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 x14ac:dyDescent="0.25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 x14ac:dyDescent="0.25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 x14ac:dyDescent="0.25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 x14ac:dyDescent="0.25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 x14ac:dyDescent="0.25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 x14ac:dyDescent="0.25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 x14ac:dyDescent="0.25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 x14ac:dyDescent="0.25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 x14ac:dyDescent="0.25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 x14ac:dyDescent="0.25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 x14ac:dyDescent="0.25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 x14ac:dyDescent="0.25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 x14ac:dyDescent="0.25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Y56"/>
  <sheetViews>
    <sheetView tabSelected="1" zoomScale="55" zoomScaleNormal="55" workbookViewId="0">
      <selection activeCell="V7" sqref="V7"/>
    </sheetView>
  </sheetViews>
  <sheetFormatPr defaultRowHeight="15" x14ac:dyDescent="0.2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3.85546875" bestFit="1" customWidth="1"/>
    <col min="17" max="18" width="14.85546875" bestFit="1" customWidth="1"/>
    <col min="19" max="19" width="12.85546875" bestFit="1" customWidth="1"/>
    <col min="20" max="21" width="13.42578125" bestFit="1" customWidth="1"/>
    <col min="22" max="22" width="14.7109375" bestFit="1" customWidth="1"/>
    <col min="23" max="24" width="16" bestFit="1" customWidth="1"/>
  </cols>
  <sheetData>
    <row r="1" spans="1:25" x14ac:dyDescent="0.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/>
    </row>
    <row r="2" spans="1:25" x14ac:dyDescent="0.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</row>
    <row r="3" spans="1:25" x14ac:dyDescent="0.25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  <c r="V3">
        <v>713186857</v>
      </c>
      <c r="W3">
        <v>7311520339.2783003</v>
      </c>
      <c r="X3">
        <f>SUM($V$3+$W$3)</f>
        <v>8024707196.2783003</v>
      </c>
    </row>
    <row r="4" spans="1:25" x14ac:dyDescent="0.25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  <c r="V4">
        <v>490101752</v>
      </c>
      <c r="W4">
        <v>3679929004.8920002</v>
      </c>
      <c r="X4">
        <f>SUM($V$4+$W$4)</f>
        <v>4170030756.8920002</v>
      </c>
    </row>
    <row r="5" spans="1:25" x14ac:dyDescent="0.25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  <c r="V5">
        <v>753375985</v>
      </c>
      <c r="W5">
        <v>6848790404.4380007</v>
      </c>
      <c r="X5">
        <f>SUM($V$5+$W$5)</f>
        <v>7602166389.4380007</v>
      </c>
    </row>
    <row r="6" spans="1:25" x14ac:dyDescent="0.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</row>
    <row r="7" spans="1:25" x14ac:dyDescent="0.25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  <c r="V7">
        <v>704885416</v>
      </c>
      <c r="W7">
        <v>6020637803.6808004</v>
      </c>
      <c r="X7">
        <f>SUM($V$7+$W$7)</f>
        <v>6725523219.6808004</v>
      </c>
    </row>
    <row r="8" spans="1:25" x14ac:dyDescent="0.25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  <c r="V8">
        <v>516828396</v>
      </c>
      <c r="W8">
        <v>4085580153.2195997</v>
      </c>
      <c r="X8">
        <f>SUM($V$8+$W$8)</f>
        <v>4602408549.2195997</v>
      </c>
    </row>
    <row r="9" spans="1:25" x14ac:dyDescent="0.25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  <c r="V9">
        <v>447324897</v>
      </c>
      <c r="W9">
        <v>3115975767.5226002</v>
      </c>
      <c r="X9">
        <f>SUM($V$9+$W$9)</f>
        <v>3563300664.5226002</v>
      </c>
    </row>
    <row r="10" spans="1:25" x14ac:dyDescent="0.25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  <c r="V10">
        <v>422902273</v>
      </c>
      <c r="W10">
        <v>2796356699.7579002</v>
      </c>
      <c r="X10">
        <f>SUM($V$10+$W$10)</f>
        <v>3219258972.7579002</v>
      </c>
    </row>
    <row r="11" spans="1:25" x14ac:dyDescent="0.25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  <c r="V11">
        <v>395580544</v>
      </c>
      <c r="W11">
        <v>2192109584.5759997</v>
      </c>
      <c r="X11">
        <f>SUM($V$11+$W$11)</f>
        <v>2587690128.5759997</v>
      </c>
    </row>
    <row r="12" spans="1:25" x14ac:dyDescent="0.25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  <c r="V12">
        <v>321847734</v>
      </c>
      <c r="W12">
        <v>1316485971.1536</v>
      </c>
      <c r="X12">
        <f>SUM($V$12+$W$12)</f>
        <v>1638333705.1536</v>
      </c>
    </row>
    <row r="13" spans="1:25" x14ac:dyDescent="0.25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  <c r="V13">
        <v>425644700</v>
      </c>
      <c r="W13">
        <v>2745408315</v>
      </c>
      <c r="X13">
        <f>SUM($V$13+$W$13)</f>
        <v>3171053015</v>
      </c>
    </row>
    <row r="14" spans="1:25" x14ac:dyDescent="0.25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  <c r="V14">
        <v>237666677</v>
      </c>
      <c r="W14">
        <v>1113872415.0959001</v>
      </c>
      <c r="X14">
        <f>SUM($V$14+$W$14)</f>
        <v>1351539092.0959001</v>
      </c>
    </row>
    <row r="15" spans="1:25" x14ac:dyDescent="0.25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  <c r="V15">
        <v>264902344</v>
      </c>
      <c r="W15">
        <v>1231954841.0064001</v>
      </c>
      <c r="X15">
        <f>SUM($V$15+$W$15)</f>
        <v>1496857185.0064001</v>
      </c>
    </row>
    <row r="16" spans="1:25" x14ac:dyDescent="0.25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  <c r="V16">
        <v>208759125</v>
      </c>
      <c r="W16">
        <v>1076278544.8499999</v>
      </c>
      <c r="X16">
        <f>SUM($V$16+$W$16)</f>
        <v>1285037669.8499999</v>
      </c>
    </row>
    <row r="17" spans="2:24" x14ac:dyDescent="0.25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  <c r="V17">
        <v>602618688</v>
      </c>
      <c r="W17">
        <v>4874401781.6255999</v>
      </c>
      <c r="X17">
        <f>SUM($V$17+$W$17)</f>
        <v>5477020469.6255999</v>
      </c>
    </row>
    <row r="18" spans="2:24" x14ac:dyDescent="0.25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</row>
    <row r="19" spans="2:24" x14ac:dyDescent="0.25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  <c r="V19">
        <v>231824956</v>
      </c>
      <c r="W19">
        <v>1050352510.6447999</v>
      </c>
      <c r="X19">
        <f>SUM($V$19+$W$19)</f>
        <v>1282177466.6447999</v>
      </c>
    </row>
    <row r="20" spans="2:24" x14ac:dyDescent="0.25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  <c r="V20">
        <v>311095485</v>
      </c>
      <c r="W20">
        <v>1623856212.6030002</v>
      </c>
      <c r="X20">
        <f>SUM($V$20+$W$20)</f>
        <v>1934951697.6030002</v>
      </c>
    </row>
    <row r="21" spans="2:24" x14ac:dyDescent="0.25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  <c r="V21">
        <v>204120176</v>
      </c>
      <c r="W21">
        <v>841852841.87680006</v>
      </c>
      <c r="X21">
        <f>SUM($V$21+$W$21)</f>
        <v>1045973017.8768001</v>
      </c>
    </row>
    <row r="22" spans="2:24" x14ac:dyDescent="0.25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  <c r="V22">
        <v>312022282</v>
      </c>
      <c r="W22">
        <v>1409467052.2504001</v>
      </c>
      <c r="X22">
        <f>SUM($V$22+$W$22)</f>
        <v>1721489334.2504001</v>
      </c>
    </row>
    <row r="23" spans="2:24" x14ac:dyDescent="0.25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  <c r="V23">
        <v>281296661</v>
      </c>
      <c r="W23">
        <v>1440632719.6454</v>
      </c>
      <c r="X23">
        <f>SUM($V$23+$W$23)</f>
        <v>1721929380.6454</v>
      </c>
    </row>
    <row r="24" spans="2:24" x14ac:dyDescent="0.25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  <c r="V24">
        <v>175837971</v>
      </c>
      <c r="W24">
        <v>721410443.62169993</v>
      </c>
      <c r="X24">
        <f>SUM($V$24+$W$24)</f>
        <v>897248414.62169993</v>
      </c>
    </row>
    <row r="25" spans="2:24" x14ac:dyDescent="0.25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  <c r="V25">
        <v>195413661</v>
      </c>
      <c r="W25">
        <v>898375223.71530008</v>
      </c>
      <c r="X25">
        <f>SUM($V$25+$W$25)</f>
        <v>1093788884.7153001</v>
      </c>
    </row>
    <row r="26" spans="2:24" x14ac:dyDescent="0.25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  <c r="V26">
        <v>290005884</v>
      </c>
      <c r="W26">
        <v>1349165373.5448</v>
      </c>
      <c r="X26">
        <f>SUM($V$26+$W$26)</f>
        <v>1639171257.5448</v>
      </c>
    </row>
    <row r="27" spans="2:24" x14ac:dyDescent="0.25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  <c r="V27">
        <v>161341676</v>
      </c>
      <c r="W27">
        <v>691671765.01199996</v>
      </c>
      <c r="X27">
        <f>SUM($V$27+$W$27)</f>
        <v>853013441.01199996</v>
      </c>
    </row>
    <row r="28" spans="2:24" x14ac:dyDescent="0.25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  <c r="V28">
        <v>140883164</v>
      </c>
      <c r="W28">
        <v>565378225.44840002</v>
      </c>
      <c r="X28">
        <f>SUM($V$28+$W$28)</f>
        <v>706261389.44840002</v>
      </c>
    </row>
    <row r="29" spans="2:24" x14ac:dyDescent="0.25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  <c r="V29">
        <v>110299900</v>
      </c>
      <c r="W29">
        <v>284937731.66999996</v>
      </c>
      <c r="X29">
        <f>SUM($V$29+$W$29)</f>
        <v>395237631.66999996</v>
      </c>
    </row>
    <row r="30" spans="2:24" x14ac:dyDescent="0.25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  <c r="V30">
        <v>225902569</v>
      </c>
      <c r="W30">
        <v>1008677560.8419</v>
      </c>
      <c r="X30">
        <f>SUM($V$30+$W$30)</f>
        <v>1234580129.8418999</v>
      </c>
    </row>
    <row r="31" spans="2:24" x14ac:dyDescent="0.25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  <c r="V31">
        <v>255448285</v>
      </c>
      <c r="W31">
        <v>1107802577.5595</v>
      </c>
      <c r="X31">
        <f>SUM($V$31+$W$31)</f>
        <v>1363250862.5595</v>
      </c>
    </row>
    <row r="32" spans="2:24" x14ac:dyDescent="0.25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  <c r="V32">
        <v>118977085</v>
      </c>
      <c r="W32">
        <v>350958605.333</v>
      </c>
      <c r="X32">
        <f>SUM($V$32+$W$32)</f>
        <v>469935690.333</v>
      </c>
    </row>
    <row r="33" spans="2:24" x14ac:dyDescent="0.25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  <c r="V33">
        <v>200644821</v>
      </c>
      <c r="W33">
        <v>806993470.06200004</v>
      </c>
      <c r="X33">
        <f>SUM($V$33+$W$33)</f>
        <v>1007638291.062</v>
      </c>
    </row>
    <row r="34" spans="2:24" x14ac:dyDescent="0.25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  <c r="V34">
        <v>154309161</v>
      </c>
      <c r="W34">
        <v>491551832.36550003</v>
      </c>
      <c r="X34">
        <f>SUM($V$34+$W$34)</f>
        <v>645860993.36549997</v>
      </c>
    </row>
    <row r="35" spans="2:24" x14ac:dyDescent="0.25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  <c r="V35">
        <v>141496250</v>
      </c>
      <c r="W35">
        <v>342774665.625</v>
      </c>
      <c r="X35">
        <f>SUM($V$35+$W$35)</f>
        <v>484270915.625</v>
      </c>
    </row>
    <row r="36" spans="2:24" x14ac:dyDescent="0.25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  <c r="V36">
        <v>203826049</v>
      </c>
      <c r="W36">
        <v>548883167.35210001</v>
      </c>
      <c r="X36">
        <f>SUM($V$36+$W$36)</f>
        <v>752709216.35210001</v>
      </c>
    </row>
    <row r="37" spans="2:24" x14ac:dyDescent="0.25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  <c r="V37">
        <v>145211791</v>
      </c>
      <c r="W37">
        <v>428519995.24100006</v>
      </c>
      <c r="X37">
        <f>SUM($V$37+$W$37)</f>
        <v>573731786.24100006</v>
      </c>
    </row>
    <row r="38" spans="2:24" x14ac:dyDescent="0.25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  <c r="V38">
        <v>205923825</v>
      </c>
      <c r="W38">
        <v>685705744.86750007</v>
      </c>
      <c r="X38">
        <f>SUM($V$38+$W$38)</f>
        <v>891629569.86750007</v>
      </c>
    </row>
    <row r="39" spans="2:24" x14ac:dyDescent="0.25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  <c r="V39">
        <v>78820470</v>
      </c>
      <c r="W39">
        <v>172766588.19299999</v>
      </c>
      <c r="X39">
        <f>SUM($V$39+$W$39)</f>
        <v>251587058.19299999</v>
      </c>
    </row>
    <row r="40" spans="2:24" x14ac:dyDescent="0.25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  <c r="V40">
        <v>88173576</v>
      </c>
      <c r="W40">
        <v>196071580.95120001</v>
      </c>
      <c r="X40">
        <f>SUM($V$40+$W$40)</f>
        <v>284245156.95120001</v>
      </c>
    </row>
    <row r="41" spans="2:24" x14ac:dyDescent="0.25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  <c r="V41">
        <v>226284595</v>
      </c>
      <c r="W41">
        <v>860877113.21800005</v>
      </c>
      <c r="X41">
        <f>SUM($V$41+$W$41)</f>
        <v>1087161708.2179999</v>
      </c>
    </row>
    <row r="42" spans="2:24" x14ac:dyDescent="0.25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  <c r="V42">
        <v>66174585</v>
      </c>
      <c r="W42">
        <v>136187295.93000001</v>
      </c>
      <c r="X42">
        <f>SUM($V$42+$W$42)</f>
        <v>202361880.93000001</v>
      </c>
    </row>
    <row r="43" spans="2:24" x14ac:dyDescent="0.25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  <c r="V43">
        <v>92260046</v>
      </c>
      <c r="W43">
        <v>179371981.4332</v>
      </c>
      <c r="X43">
        <f>SUM($V$43+$W$43)</f>
        <v>271632027.4332</v>
      </c>
    </row>
    <row r="44" spans="2:24" x14ac:dyDescent="0.25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  <c r="V44">
        <v>80441231</v>
      </c>
      <c r="W44">
        <v>146362819.80449998</v>
      </c>
      <c r="X44">
        <f>SUM($V$44+$W$44)</f>
        <v>226804050.80449998</v>
      </c>
    </row>
    <row r="45" spans="2:24" x14ac:dyDescent="0.25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  <c r="V45">
        <v>47786576</v>
      </c>
      <c r="W45">
        <v>52221170.252800003</v>
      </c>
      <c r="X45">
        <f>SUM($V$45+$W$45)</f>
        <v>100007746.2528</v>
      </c>
    </row>
    <row r="46" spans="2:24" x14ac:dyDescent="0.25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  <c r="V46">
        <v>94661260</v>
      </c>
      <c r="W46">
        <v>203171462.338</v>
      </c>
      <c r="X46">
        <f>SUM($V$46+$W$46)</f>
        <v>297832722.338</v>
      </c>
    </row>
    <row r="47" spans="2:24" x14ac:dyDescent="0.25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  <c r="V47">
        <v>29631626</v>
      </c>
      <c r="W47">
        <v>36355041.939400002</v>
      </c>
      <c r="X47">
        <f>SUM($V$47+$W$47)</f>
        <v>65986667.939400002</v>
      </c>
    </row>
    <row r="48" spans="2:24" x14ac:dyDescent="0.25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  <c r="V48">
        <v>116719990</v>
      </c>
      <c r="W48">
        <v>259842041.73800001</v>
      </c>
      <c r="X48">
        <f>SUM($V$48+$W$48)</f>
        <v>376562031.73800004</v>
      </c>
    </row>
    <row r="49" spans="2:24" x14ac:dyDescent="0.25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  <c r="M49">
        <v>21543497</v>
      </c>
      <c r="N49">
        <v>9890619.4726999998</v>
      </c>
      <c r="O49">
        <f>SUM($M$49+$N$49)</f>
        <v>31434116.4727</v>
      </c>
      <c r="P49">
        <v>21543497</v>
      </c>
      <c r="Q49">
        <v>9890619.4726999998</v>
      </c>
      <c r="R49">
        <f>SUM($P$49+$Q$49)</f>
        <v>31434116.4727</v>
      </c>
      <c r="S49">
        <v>21543497</v>
      </c>
      <c r="T49">
        <v>9890619.4726999998</v>
      </c>
      <c r="U49">
        <f>SUM($S$49+$T$49)</f>
        <v>31434116.4727</v>
      </c>
      <c r="V49">
        <v>21543497</v>
      </c>
      <c r="W49">
        <v>9890619.4726999998</v>
      </c>
      <c r="X49">
        <f>SUM($V$49+$W$49)</f>
        <v>31434116.4727</v>
      </c>
    </row>
    <row r="50" spans="2:24" x14ac:dyDescent="0.25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  <c r="M50">
        <v>17876245</v>
      </c>
      <c r="N50">
        <v>10575586.541999999</v>
      </c>
      <c r="O50">
        <f>SUM($M$50+$N$50)</f>
        <v>28451831.541999999</v>
      </c>
      <c r="P50">
        <v>17941810</v>
      </c>
      <c r="Q50">
        <v>10614374.796</v>
      </c>
      <c r="R50">
        <f>SUM($P$50+$Q$50)</f>
        <v>28556184.796</v>
      </c>
      <c r="S50">
        <v>21216385</v>
      </c>
      <c r="T50">
        <v>16644254.032500001</v>
      </c>
      <c r="U50">
        <f>SUM($S$50+$T$50)</f>
        <v>37860639.032499999</v>
      </c>
      <c r="V50">
        <v>27084435</v>
      </c>
      <c r="W50">
        <v>24722672.267999999</v>
      </c>
      <c r="X50">
        <f>SUM($V$50+$W$50)</f>
        <v>51807107.267999999</v>
      </c>
    </row>
    <row r="51" spans="2:24" x14ac:dyDescent="0.25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  <c r="M51">
        <v>18452805</v>
      </c>
      <c r="N51">
        <v>8025124.8945000004</v>
      </c>
      <c r="O51">
        <f>SUM($M$51+$N$51)</f>
        <v>26477929.894500002</v>
      </c>
      <c r="P51">
        <v>20288605</v>
      </c>
      <c r="Q51">
        <v>9077121.8770000003</v>
      </c>
      <c r="R51">
        <f>SUM($P$51+$Q$51)</f>
        <v>29365726.877</v>
      </c>
      <c r="S51">
        <v>25624200</v>
      </c>
      <c r="T51">
        <v>14229118.26</v>
      </c>
      <c r="U51">
        <f>SUM($S$51+$T$51)</f>
        <v>39853318.259999998</v>
      </c>
      <c r="V51">
        <v>24348815</v>
      </c>
      <c r="W51">
        <v>13496548.1545</v>
      </c>
      <c r="X51">
        <f>SUM($V$51+$W$51)</f>
        <v>37845363.1545</v>
      </c>
    </row>
    <row r="52" spans="2:24" x14ac:dyDescent="0.25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  <c r="M52">
        <v>38949680</v>
      </c>
      <c r="N52">
        <v>35541583</v>
      </c>
      <c r="O52">
        <f>SUM($M$52+$N$52)</f>
        <v>74491263</v>
      </c>
      <c r="P52">
        <v>57556360</v>
      </c>
      <c r="Q52">
        <v>55110214.700000003</v>
      </c>
      <c r="R52">
        <f>SUM($P$52+$Q$52)</f>
        <v>112666574.7</v>
      </c>
      <c r="S52">
        <v>74634197</v>
      </c>
      <c r="T52">
        <v>88807231.010299996</v>
      </c>
      <c r="U52">
        <f>SUM($S$52+$T$52)</f>
        <v>163441428.01029998</v>
      </c>
      <c r="V52">
        <v>82426798</v>
      </c>
      <c r="W52">
        <v>110649733.63520001</v>
      </c>
      <c r="X52">
        <f>SUM($V$52+$W$52)</f>
        <v>193076531.63520002</v>
      </c>
    </row>
    <row r="53" spans="2:24" x14ac:dyDescent="0.25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  <c r="M53">
        <v>21684496</v>
      </c>
      <c r="N53">
        <v>18071858.966400001</v>
      </c>
      <c r="O53">
        <f>SUM($M$53+$N$53)</f>
        <v>39756354.966399997</v>
      </c>
      <c r="P53">
        <v>28847361</v>
      </c>
      <c r="Q53">
        <v>29666626.0524</v>
      </c>
      <c r="R53">
        <f>SUM($P$53+$Q$53)</f>
        <v>58513987.0524</v>
      </c>
      <c r="S53">
        <v>51384956</v>
      </c>
      <c r="T53">
        <v>74631510.094400004</v>
      </c>
      <c r="U53">
        <f>SUM($S$53+$T$53)</f>
        <v>126016466.0944</v>
      </c>
      <c r="V53">
        <v>60932841</v>
      </c>
      <c r="W53">
        <v>94141239.344999999</v>
      </c>
      <c r="X53">
        <f>SUM($V$53+$W$53)</f>
        <v>155074080.345</v>
      </c>
    </row>
    <row r="54" spans="2:24" x14ac:dyDescent="0.25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  <c r="M54">
        <v>1306180</v>
      </c>
      <c r="N54">
        <v>22596.914000000001</v>
      </c>
      <c r="O54">
        <f>SUM($M$54+$N$54)</f>
        <v>1328776.9140000001</v>
      </c>
      <c r="P54">
        <v>1306180</v>
      </c>
      <c r="Q54">
        <v>22596.914000000001</v>
      </c>
      <c r="R54">
        <f>SUM($P$54+$Q$54)</f>
        <v>1328776.9140000001</v>
      </c>
      <c r="S54">
        <v>1306180</v>
      </c>
      <c r="T54">
        <v>22596.914000000001</v>
      </c>
      <c r="U54">
        <f>SUM($S$54+$T$54)</f>
        <v>1328776.9140000001</v>
      </c>
      <c r="V54">
        <v>1306180</v>
      </c>
      <c r="W54">
        <v>22596.914000000001</v>
      </c>
      <c r="X54">
        <f>SUM($V$54+$W$54)</f>
        <v>1328776.9140000001</v>
      </c>
    </row>
    <row r="55" spans="2:24" x14ac:dyDescent="0.25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  <c r="M55">
        <v>55580356</v>
      </c>
      <c r="N55">
        <v>102612453.2472</v>
      </c>
      <c r="O55">
        <f>SUM($M$55+$N$55)</f>
        <v>158192809.24720001</v>
      </c>
      <c r="P55">
        <v>80657156</v>
      </c>
      <c r="Q55">
        <v>170928644.99519998</v>
      </c>
      <c r="R55">
        <f>SUM($P$55+$Q$55)</f>
        <v>251585800.99519998</v>
      </c>
      <c r="S55">
        <v>117231051</v>
      </c>
      <c r="T55">
        <v>318153349.3089</v>
      </c>
      <c r="U55">
        <f>SUM($S$55+$T$55)</f>
        <v>435384400.3089</v>
      </c>
      <c r="V55">
        <v>137147746</v>
      </c>
      <c r="W55">
        <v>403008651.62100005</v>
      </c>
      <c r="X55">
        <f>SUM($V$55+$W$55)</f>
        <v>540156397.62100005</v>
      </c>
    </row>
    <row r="56" spans="2:24" x14ac:dyDescent="0.25">
      <c r="B56" s="1" t="s">
        <v>171</v>
      </c>
      <c r="C56" t="s">
        <v>172</v>
      </c>
      <c r="D56">
        <v>190871958</v>
      </c>
      <c r="E56">
        <v>848540376.48479998</v>
      </c>
      <c r="F56">
        <f>SUM($P$56+$Q$56)</f>
        <v>1039412334.4848</v>
      </c>
      <c r="G56">
        <v>190871958</v>
      </c>
      <c r="H56">
        <v>848540376.48479998</v>
      </c>
      <c r="I56">
        <f>SUM($P$56+$Q$56)</f>
        <v>1039412334.4848</v>
      </c>
      <c r="J56">
        <v>190871958</v>
      </c>
      <c r="K56">
        <v>848540376.48479998</v>
      </c>
      <c r="L56">
        <f>SUM($P$56+$Q$56)</f>
        <v>1039412334.4848</v>
      </c>
      <c r="M56">
        <v>190871958</v>
      </c>
      <c r="N56">
        <v>848540376.48479998</v>
      </c>
      <c r="O56">
        <f>SUM($P$56+$Q$56)</f>
        <v>1039412334.4848</v>
      </c>
      <c r="P56">
        <v>190871958</v>
      </c>
      <c r="Q56">
        <v>848540376.48479998</v>
      </c>
      <c r="R56">
        <f>SUM($P$56+$Q$56)</f>
        <v>1039412334.4848</v>
      </c>
      <c r="S56">
        <v>236439002</v>
      </c>
      <c r="T56">
        <v>1135049073.0012</v>
      </c>
      <c r="U56">
        <f>SUM($S$56+$T$56)</f>
        <v>1371488075.0012</v>
      </c>
      <c r="V56">
        <v>270084962</v>
      </c>
      <c r="W56">
        <v>1342970465.0488</v>
      </c>
      <c r="X56">
        <f>SUM($V$56+$W$56)</f>
        <v>1613055427.0488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 x14ac:dyDescent="0.25"/>
  <cols>
    <col min="1" max="1" width="34.28515625" customWidth="1"/>
    <col min="2" max="2" width="33.85546875" customWidth="1"/>
  </cols>
  <sheetData>
    <row r="1" spans="1:2" ht="15.75" x14ac:dyDescent="0.25">
      <c r="A1" s="6" t="s">
        <v>162</v>
      </c>
      <c r="B1" s="6" t="s">
        <v>163</v>
      </c>
    </row>
    <row r="2" spans="1:2" ht="21" x14ac:dyDescent="0.35">
      <c r="A2" s="7" t="s">
        <v>170</v>
      </c>
      <c r="B2" s="8"/>
    </row>
    <row r="3" spans="1:2" ht="21" x14ac:dyDescent="0.35">
      <c r="A3" s="9"/>
      <c r="B3" s="10"/>
    </row>
    <row r="4" spans="1:2" ht="21" x14ac:dyDescent="0.35">
      <c r="A4" s="9"/>
      <c r="B4" s="10"/>
    </row>
    <row r="5" spans="1:2" ht="21" x14ac:dyDescent="0.35">
      <c r="A5" s="9"/>
      <c r="B5" s="11"/>
    </row>
    <row r="6" spans="1:2" ht="21" x14ac:dyDescent="0.35">
      <c r="A6" s="9"/>
      <c r="B6" s="11"/>
    </row>
    <row r="7" spans="1:2" ht="21" x14ac:dyDescent="0.35">
      <c r="A7" s="9"/>
      <c r="B7" s="10"/>
    </row>
    <row r="8" spans="1:2" ht="21" x14ac:dyDescent="0.35">
      <c r="A8" s="9"/>
      <c r="B8" s="11"/>
    </row>
    <row r="9" spans="1:2" ht="21" x14ac:dyDescent="0.35">
      <c r="A9" s="9"/>
      <c r="B9" s="11"/>
    </row>
    <row r="10" spans="1:2" ht="21" x14ac:dyDescent="0.35">
      <c r="A10" s="9"/>
      <c r="B10" s="10"/>
    </row>
    <row r="11" spans="1:2" ht="21" x14ac:dyDescent="0.35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 x14ac:dyDescent="0.25"/>
  <cols>
    <col min="1" max="1" width="41.140625" customWidth="1"/>
    <col min="2" max="2" width="29.28515625" customWidth="1"/>
  </cols>
  <sheetData>
    <row r="1" spans="1:21" ht="15.75" x14ac:dyDescent="0.25">
      <c r="A1" s="6" t="s">
        <v>164</v>
      </c>
      <c r="B1" s="6" t="s">
        <v>165</v>
      </c>
    </row>
    <row r="2" spans="1:21" ht="21" x14ac:dyDescent="0.35">
      <c r="A2" s="7" t="s">
        <v>151</v>
      </c>
      <c r="B2" s="14"/>
      <c r="L2" s="4"/>
      <c r="O2" s="4"/>
      <c r="R2" s="4"/>
      <c r="U2" s="4"/>
    </row>
    <row r="3" spans="1:21" ht="21" x14ac:dyDescent="0.35">
      <c r="A3" s="9"/>
      <c r="B3" s="11"/>
    </row>
    <row r="4" spans="1:21" ht="21" x14ac:dyDescent="0.35">
      <c r="A4" s="9"/>
      <c r="B4" s="11"/>
    </row>
    <row r="5" spans="1:21" ht="21" x14ac:dyDescent="0.35">
      <c r="A5" s="9"/>
      <c r="B5" s="11"/>
    </row>
    <row r="6" spans="1:21" ht="21" x14ac:dyDescent="0.35">
      <c r="A6" s="9"/>
      <c r="B6" s="11"/>
    </row>
    <row r="7" spans="1:21" ht="21" x14ac:dyDescent="0.35">
      <c r="A7" s="9"/>
      <c r="B7" s="11"/>
    </row>
    <row r="8" spans="1:21" ht="21" x14ac:dyDescent="0.35">
      <c r="A8" s="9"/>
      <c r="B8" s="11"/>
    </row>
    <row r="9" spans="1:21" ht="21" x14ac:dyDescent="0.35">
      <c r="A9" s="9"/>
      <c r="B9" s="11"/>
    </row>
    <row r="10" spans="1:21" ht="21" x14ac:dyDescent="0.35">
      <c r="A10" s="9"/>
      <c r="B10" s="11"/>
    </row>
    <row r="11" spans="1:21" ht="21" x14ac:dyDescent="0.35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2024-11-13T20:14:54Z</dcterms:modified>
</cp:coreProperties>
</file>