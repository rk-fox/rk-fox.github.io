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robsonrcc\Downloads\"/>
    </mc:Choice>
  </mc:AlternateContent>
  <xr:revisionPtr revIDLastSave="0" documentId="13_ncr:1_{DC959D14-5BBD-4496-81FB-1589E477B707}" xr6:coauthVersionLast="47" xr6:coauthVersionMax="47" xr10:uidLastSave="{00000000-0000-0000-0000-000000000000}"/>
  <bookViews>
    <workbookView xWindow="-110" yWindow="-110" windowWidth="38620" windowHeight="21220" activeTab="2" xr2:uid="{4B9A0E89-C844-4496-B098-AB62AA7CAA1B}"/>
  </bookViews>
  <sheets>
    <sheet name="Planilha1" sheetId="1" r:id="rId1"/>
    <sheet name="Planilha2" sheetId="2" r:id="rId2"/>
    <sheet name="Planilha3" sheetId="3" r:id="rId3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4" i="3" l="1"/>
  <c r="T54" i="3"/>
  <c r="S54" i="3"/>
  <c r="U53" i="3"/>
  <c r="T53" i="3"/>
  <c r="S53" i="3"/>
  <c r="T52" i="3"/>
  <c r="S52" i="3"/>
  <c r="U52" i="3" s="1"/>
  <c r="T51" i="3"/>
  <c r="S51" i="3"/>
  <c r="U51" i="3" s="1"/>
  <c r="U50" i="3"/>
  <c r="T50" i="3"/>
  <c r="S50" i="3"/>
  <c r="U49" i="3"/>
  <c r="T49" i="3"/>
  <c r="S49" i="3"/>
  <c r="T48" i="3"/>
  <c r="S48" i="3"/>
  <c r="U48" i="3" s="1"/>
  <c r="T47" i="3"/>
  <c r="S47" i="3"/>
  <c r="U47" i="3" s="1"/>
  <c r="U46" i="3"/>
  <c r="T46" i="3"/>
  <c r="S46" i="3"/>
  <c r="U45" i="3"/>
  <c r="T45" i="3"/>
  <c r="S45" i="3"/>
  <c r="T44" i="3"/>
  <c r="S44" i="3"/>
  <c r="U44" i="3" s="1"/>
  <c r="T43" i="3"/>
  <c r="S43" i="3"/>
  <c r="U43" i="3" s="1"/>
  <c r="U42" i="3"/>
  <c r="T42" i="3"/>
  <c r="S42" i="3"/>
  <c r="U41" i="3"/>
  <c r="T41" i="3"/>
  <c r="S41" i="3"/>
  <c r="T40" i="3"/>
  <c r="S40" i="3"/>
  <c r="U40" i="3" s="1"/>
  <c r="T39" i="3"/>
  <c r="S39" i="3"/>
  <c r="U39" i="3" s="1"/>
  <c r="U38" i="3"/>
  <c r="T38" i="3"/>
  <c r="S38" i="3"/>
  <c r="T37" i="3"/>
  <c r="S37" i="3"/>
  <c r="U37" i="3" s="1"/>
  <c r="T36" i="3"/>
  <c r="S36" i="3"/>
  <c r="U36" i="3" s="1"/>
  <c r="T35" i="3"/>
  <c r="S35" i="3"/>
  <c r="U35" i="3" s="1"/>
  <c r="U34" i="3"/>
  <c r="T34" i="3"/>
  <c r="S34" i="3"/>
  <c r="U33" i="3"/>
  <c r="T33" i="3"/>
  <c r="S33" i="3"/>
  <c r="T32" i="3"/>
  <c r="S32" i="3"/>
  <c r="U32" i="3" s="1"/>
  <c r="T31" i="3"/>
  <c r="S31" i="3"/>
  <c r="U31" i="3" s="1"/>
  <c r="U30" i="3"/>
  <c r="T30" i="3"/>
  <c r="S30" i="3"/>
  <c r="U29" i="3"/>
  <c r="T29" i="3"/>
  <c r="S29" i="3"/>
  <c r="T28" i="3"/>
  <c r="S28" i="3"/>
  <c r="U28" i="3" s="1"/>
  <c r="T27" i="3"/>
  <c r="S27" i="3"/>
  <c r="U27" i="3" s="1"/>
  <c r="U26" i="3"/>
  <c r="T26" i="3"/>
  <c r="S26" i="3"/>
  <c r="U25" i="3"/>
  <c r="T25" i="3"/>
  <c r="S25" i="3"/>
  <c r="T24" i="3"/>
  <c r="S24" i="3"/>
  <c r="U24" i="3" s="1"/>
  <c r="T23" i="3"/>
  <c r="S23" i="3"/>
  <c r="U23" i="3" s="1"/>
  <c r="U22" i="3"/>
  <c r="T22" i="3"/>
  <c r="S22" i="3"/>
  <c r="U21" i="3"/>
  <c r="T21" i="3"/>
  <c r="S21" i="3"/>
  <c r="T20" i="3"/>
  <c r="S20" i="3"/>
  <c r="U20" i="3" s="1"/>
  <c r="T19" i="3"/>
  <c r="S19" i="3"/>
  <c r="U19" i="3" s="1"/>
  <c r="U18" i="3"/>
  <c r="T18" i="3"/>
  <c r="S18" i="3"/>
  <c r="U17" i="3"/>
  <c r="T17" i="3"/>
  <c r="S17" i="3"/>
  <c r="T16" i="3"/>
  <c r="S16" i="3"/>
  <c r="U16" i="3" s="1"/>
  <c r="T15" i="3"/>
  <c r="S15" i="3"/>
  <c r="U15" i="3" s="1"/>
  <c r="U14" i="3"/>
  <c r="T14" i="3"/>
  <c r="S14" i="3"/>
  <c r="U13" i="3"/>
  <c r="T13" i="3"/>
  <c r="S13" i="3"/>
  <c r="T12" i="3"/>
  <c r="S12" i="3"/>
  <c r="U12" i="3" s="1"/>
  <c r="T11" i="3"/>
  <c r="S11" i="3"/>
  <c r="U11" i="3" s="1"/>
  <c r="U10" i="3"/>
  <c r="T10" i="3"/>
  <c r="S10" i="3"/>
  <c r="U9" i="3"/>
  <c r="T9" i="3"/>
  <c r="S9" i="3"/>
  <c r="T8" i="3"/>
  <c r="S8" i="3"/>
  <c r="U8" i="3" s="1"/>
  <c r="T7" i="3"/>
  <c r="S7" i="3"/>
  <c r="U7" i="3" s="1"/>
  <c r="U6" i="3"/>
  <c r="T6" i="3"/>
  <c r="S6" i="3"/>
  <c r="T5" i="3"/>
  <c r="S5" i="3"/>
  <c r="U5" i="3" s="1"/>
  <c r="T4" i="3"/>
  <c r="S4" i="3"/>
  <c r="U4" i="3" s="1"/>
  <c r="T3" i="3"/>
  <c r="S3" i="3"/>
  <c r="U3" i="3" s="1"/>
  <c r="Q54" i="3"/>
  <c r="P54" i="3"/>
  <c r="R54" i="3" s="1"/>
  <c r="Q53" i="3"/>
  <c r="P53" i="3"/>
  <c r="R53" i="3" s="1"/>
  <c r="Q52" i="3"/>
  <c r="P52" i="3"/>
  <c r="R52" i="3" s="1"/>
  <c r="Q51" i="3"/>
  <c r="R51" i="3" s="1"/>
  <c r="P51" i="3"/>
  <c r="Q50" i="3"/>
  <c r="P50" i="3"/>
  <c r="R50" i="3" s="1"/>
  <c r="Q49" i="3"/>
  <c r="P49" i="3"/>
  <c r="R49" i="3" s="1"/>
  <c r="Q48" i="3"/>
  <c r="P48" i="3"/>
  <c r="R48" i="3" s="1"/>
  <c r="Q47" i="3"/>
  <c r="R47" i="3" s="1"/>
  <c r="P47" i="3"/>
  <c r="Q46" i="3"/>
  <c r="P46" i="3"/>
  <c r="R46" i="3" s="1"/>
  <c r="Q45" i="3"/>
  <c r="P45" i="3"/>
  <c r="R45" i="3" s="1"/>
  <c r="Q44" i="3"/>
  <c r="P44" i="3"/>
  <c r="R44" i="3" s="1"/>
  <c r="Q43" i="3"/>
  <c r="R43" i="3" s="1"/>
  <c r="P43" i="3"/>
  <c r="Q42" i="3"/>
  <c r="P42" i="3"/>
  <c r="R42" i="3" s="1"/>
  <c r="Q41" i="3"/>
  <c r="P41" i="3"/>
  <c r="R41" i="3" s="1"/>
  <c r="Q40" i="3"/>
  <c r="P40" i="3"/>
  <c r="R40" i="3" s="1"/>
  <c r="Q39" i="3"/>
  <c r="R39" i="3" s="1"/>
  <c r="P39" i="3"/>
  <c r="Q38" i="3"/>
  <c r="P38" i="3"/>
  <c r="R38" i="3" s="1"/>
  <c r="Q37" i="3"/>
  <c r="P37" i="3"/>
  <c r="R37" i="3" s="1"/>
  <c r="Q36" i="3"/>
  <c r="P36" i="3"/>
  <c r="R36" i="3" s="1"/>
  <c r="Q35" i="3"/>
  <c r="R35" i="3" s="1"/>
  <c r="P35" i="3"/>
  <c r="Q34" i="3"/>
  <c r="P34" i="3"/>
  <c r="R34" i="3" s="1"/>
  <c r="Q33" i="3"/>
  <c r="P33" i="3"/>
  <c r="R33" i="3" s="1"/>
  <c r="Q32" i="3"/>
  <c r="P32" i="3"/>
  <c r="R32" i="3" s="1"/>
  <c r="Q31" i="3"/>
  <c r="R31" i="3" s="1"/>
  <c r="P31" i="3"/>
  <c r="Q30" i="3"/>
  <c r="P30" i="3"/>
  <c r="R30" i="3" s="1"/>
  <c r="Q29" i="3"/>
  <c r="P29" i="3"/>
  <c r="R29" i="3" s="1"/>
  <c r="Q28" i="3"/>
  <c r="P28" i="3"/>
  <c r="R28" i="3" s="1"/>
  <c r="Q27" i="3"/>
  <c r="R27" i="3" s="1"/>
  <c r="P27" i="3"/>
  <c r="Q26" i="3"/>
  <c r="P26" i="3"/>
  <c r="R26" i="3" s="1"/>
  <c r="Q25" i="3"/>
  <c r="P25" i="3"/>
  <c r="R25" i="3" s="1"/>
  <c r="Q24" i="3"/>
  <c r="P24" i="3"/>
  <c r="R24" i="3" s="1"/>
  <c r="Q23" i="3"/>
  <c r="R23" i="3" s="1"/>
  <c r="P23" i="3"/>
  <c r="Q22" i="3"/>
  <c r="P22" i="3"/>
  <c r="R22" i="3" s="1"/>
  <c r="Q21" i="3"/>
  <c r="P21" i="3"/>
  <c r="R21" i="3" s="1"/>
  <c r="Q20" i="3"/>
  <c r="P20" i="3"/>
  <c r="R20" i="3" s="1"/>
  <c r="Q19" i="3"/>
  <c r="R19" i="3" s="1"/>
  <c r="P19" i="3"/>
  <c r="Q18" i="3"/>
  <c r="P18" i="3"/>
  <c r="R18" i="3" s="1"/>
  <c r="Q17" i="3"/>
  <c r="P17" i="3"/>
  <c r="R17" i="3" s="1"/>
  <c r="Q16" i="3"/>
  <c r="P16" i="3"/>
  <c r="R16" i="3" s="1"/>
  <c r="Q15" i="3"/>
  <c r="R15" i="3" s="1"/>
  <c r="P15" i="3"/>
  <c r="Q14" i="3"/>
  <c r="P14" i="3"/>
  <c r="R14" i="3" s="1"/>
  <c r="Q13" i="3"/>
  <c r="P13" i="3"/>
  <c r="R13" i="3" s="1"/>
  <c r="Q12" i="3"/>
  <c r="P12" i="3"/>
  <c r="R12" i="3" s="1"/>
  <c r="Q11" i="3"/>
  <c r="R11" i="3" s="1"/>
  <c r="P11" i="3"/>
  <c r="Q10" i="3"/>
  <c r="P10" i="3"/>
  <c r="R10" i="3" s="1"/>
  <c r="Q9" i="3"/>
  <c r="P9" i="3"/>
  <c r="R9" i="3" s="1"/>
  <c r="Q8" i="3"/>
  <c r="P8" i="3"/>
  <c r="R8" i="3" s="1"/>
  <c r="Q7" i="3"/>
  <c r="R7" i="3" s="1"/>
  <c r="P7" i="3"/>
  <c r="Q6" i="3"/>
  <c r="P6" i="3"/>
  <c r="R6" i="3" s="1"/>
  <c r="Q5" i="3"/>
  <c r="P5" i="3"/>
  <c r="R5" i="3" s="1"/>
  <c r="Q4" i="3"/>
  <c r="P4" i="3"/>
  <c r="R4" i="3" s="1"/>
  <c r="Q3" i="3"/>
  <c r="R3" i="3" s="1"/>
  <c r="P3" i="3"/>
  <c r="N54" i="3"/>
  <c r="M54" i="3"/>
  <c r="O54" i="3" s="1"/>
  <c r="O53" i="3"/>
  <c r="N53" i="3"/>
  <c r="M53" i="3"/>
  <c r="N52" i="3"/>
  <c r="M52" i="3"/>
  <c r="O52" i="3" s="1"/>
  <c r="N51" i="3"/>
  <c r="M51" i="3"/>
  <c r="O51" i="3" s="1"/>
  <c r="N50" i="3"/>
  <c r="M50" i="3"/>
  <c r="O50" i="3" s="1"/>
  <c r="O49" i="3"/>
  <c r="N49" i="3"/>
  <c r="M49" i="3"/>
  <c r="N48" i="3"/>
  <c r="M48" i="3"/>
  <c r="O48" i="3" s="1"/>
  <c r="N47" i="3"/>
  <c r="M47" i="3"/>
  <c r="O47" i="3" s="1"/>
  <c r="N46" i="3"/>
  <c r="M46" i="3"/>
  <c r="O46" i="3" s="1"/>
  <c r="O45" i="3"/>
  <c r="N45" i="3"/>
  <c r="M45" i="3"/>
  <c r="N44" i="3"/>
  <c r="M44" i="3"/>
  <c r="O44" i="3" s="1"/>
  <c r="N43" i="3"/>
  <c r="M43" i="3"/>
  <c r="O43" i="3" s="1"/>
  <c r="N42" i="3"/>
  <c r="M42" i="3"/>
  <c r="O42" i="3" s="1"/>
  <c r="O41" i="3"/>
  <c r="N41" i="3"/>
  <c r="M41" i="3"/>
  <c r="N40" i="3"/>
  <c r="O40" i="3" s="1"/>
  <c r="M40" i="3"/>
  <c r="N39" i="3"/>
  <c r="M39" i="3"/>
  <c r="O39" i="3" s="1"/>
  <c r="N38" i="3"/>
  <c r="M38" i="3"/>
  <c r="O38" i="3" s="1"/>
  <c r="O37" i="3"/>
  <c r="N37" i="3"/>
  <c r="M37" i="3"/>
  <c r="O36" i="3"/>
  <c r="N36" i="3"/>
  <c r="M36" i="3"/>
  <c r="N35" i="3"/>
  <c r="M35" i="3"/>
  <c r="O35" i="3" s="1"/>
  <c r="N34" i="3"/>
  <c r="M34" i="3"/>
  <c r="O34" i="3" s="1"/>
  <c r="O33" i="3"/>
  <c r="N33" i="3"/>
  <c r="M33" i="3"/>
  <c r="O32" i="3"/>
  <c r="N32" i="3"/>
  <c r="M32" i="3"/>
  <c r="N31" i="3"/>
  <c r="M31" i="3"/>
  <c r="O31" i="3" s="1"/>
  <c r="N30" i="3"/>
  <c r="M30" i="3"/>
  <c r="O30" i="3" s="1"/>
  <c r="O29" i="3"/>
  <c r="N29" i="3"/>
  <c r="M29" i="3"/>
  <c r="O28" i="3"/>
  <c r="N28" i="3"/>
  <c r="M28" i="3"/>
  <c r="N27" i="3"/>
  <c r="M27" i="3"/>
  <c r="O27" i="3" s="1"/>
  <c r="N26" i="3"/>
  <c r="M26" i="3"/>
  <c r="O26" i="3" s="1"/>
  <c r="O25" i="3"/>
  <c r="N25" i="3"/>
  <c r="M25" i="3"/>
  <c r="O24" i="3"/>
  <c r="N24" i="3"/>
  <c r="M24" i="3"/>
  <c r="N23" i="3"/>
  <c r="M23" i="3"/>
  <c r="O23" i="3" s="1"/>
  <c r="N22" i="3"/>
  <c r="M22" i="3"/>
  <c r="O22" i="3" s="1"/>
  <c r="O21" i="3"/>
  <c r="N21" i="3"/>
  <c r="M21" i="3"/>
  <c r="O20" i="3"/>
  <c r="N20" i="3"/>
  <c r="M20" i="3"/>
  <c r="N19" i="3"/>
  <c r="M19" i="3"/>
  <c r="O19" i="3" s="1"/>
  <c r="N18" i="3"/>
  <c r="M18" i="3"/>
  <c r="O18" i="3" s="1"/>
  <c r="O17" i="3"/>
  <c r="N17" i="3"/>
  <c r="M17" i="3"/>
  <c r="O16" i="3"/>
  <c r="N16" i="3"/>
  <c r="M16" i="3"/>
  <c r="N15" i="3"/>
  <c r="M15" i="3"/>
  <c r="O15" i="3" s="1"/>
  <c r="N14" i="3"/>
  <c r="M14" i="3"/>
  <c r="O14" i="3" s="1"/>
  <c r="O13" i="3"/>
  <c r="N13" i="3"/>
  <c r="M13" i="3"/>
  <c r="N12" i="3"/>
  <c r="O12" i="3" s="1"/>
  <c r="M12" i="3"/>
  <c r="N11" i="3"/>
  <c r="M11" i="3"/>
  <c r="O11" i="3" s="1"/>
  <c r="N10" i="3"/>
  <c r="M10" i="3"/>
  <c r="O10" i="3" s="1"/>
  <c r="O9" i="3"/>
  <c r="N9" i="3"/>
  <c r="M9" i="3"/>
  <c r="N8" i="3"/>
  <c r="O8" i="3" s="1"/>
  <c r="M8" i="3"/>
  <c r="N7" i="3"/>
  <c r="M7" i="3"/>
  <c r="O7" i="3" s="1"/>
  <c r="N6" i="3"/>
  <c r="M6" i="3"/>
  <c r="O6" i="3" s="1"/>
  <c r="O5" i="3"/>
  <c r="N5" i="3"/>
  <c r="M5" i="3"/>
  <c r="N4" i="3"/>
  <c r="O4" i="3" s="1"/>
  <c r="M4" i="3"/>
  <c r="N3" i="3"/>
  <c r="M3" i="3"/>
  <c r="O3" i="3" s="1"/>
  <c r="L54" i="3"/>
  <c r="K54" i="3"/>
  <c r="J54" i="3"/>
  <c r="L53" i="3"/>
  <c r="K53" i="3"/>
  <c r="J53" i="3"/>
  <c r="L52" i="3"/>
  <c r="K52" i="3"/>
  <c r="J52" i="3"/>
  <c r="K51" i="3"/>
  <c r="J51" i="3"/>
  <c r="L51" i="3" s="1"/>
  <c r="L50" i="3"/>
  <c r="K50" i="3"/>
  <c r="J50" i="3"/>
  <c r="L49" i="3"/>
  <c r="K49" i="3"/>
  <c r="J49" i="3"/>
  <c r="L48" i="3"/>
  <c r="K48" i="3"/>
  <c r="J48" i="3"/>
  <c r="K47" i="3"/>
  <c r="J47" i="3"/>
  <c r="L47" i="3" s="1"/>
  <c r="L46" i="3"/>
  <c r="K46" i="3"/>
  <c r="J46" i="3"/>
  <c r="L45" i="3"/>
  <c r="K45" i="3"/>
  <c r="J45" i="3"/>
  <c r="L44" i="3"/>
  <c r="K44" i="3"/>
  <c r="J44" i="3"/>
  <c r="K43" i="3"/>
  <c r="J43" i="3"/>
  <c r="L43" i="3" s="1"/>
  <c r="L42" i="3"/>
  <c r="K42" i="3"/>
  <c r="J42" i="3"/>
  <c r="L41" i="3"/>
  <c r="K41" i="3"/>
  <c r="J41" i="3"/>
  <c r="L40" i="3"/>
  <c r="K40" i="3"/>
  <c r="J40" i="3"/>
  <c r="K39" i="3"/>
  <c r="J39" i="3"/>
  <c r="L39" i="3" s="1"/>
  <c r="L38" i="3"/>
  <c r="K38" i="3"/>
  <c r="J38" i="3"/>
  <c r="L37" i="3"/>
  <c r="K37" i="3"/>
  <c r="J37" i="3"/>
  <c r="L36" i="3"/>
  <c r="K36" i="3"/>
  <c r="J36" i="3"/>
  <c r="K35" i="3"/>
  <c r="J35" i="3"/>
  <c r="L35" i="3" s="1"/>
  <c r="L34" i="3"/>
  <c r="K34" i="3"/>
  <c r="J34" i="3"/>
  <c r="L33" i="3"/>
  <c r="K33" i="3"/>
  <c r="J33" i="3"/>
  <c r="L32" i="3"/>
  <c r="K32" i="3"/>
  <c r="J32" i="3"/>
  <c r="K31" i="3"/>
  <c r="J31" i="3"/>
  <c r="L31" i="3" s="1"/>
  <c r="L30" i="3"/>
  <c r="K30" i="3"/>
  <c r="J30" i="3"/>
  <c r="L29" i="3"/>
  <c r="K29" i="3"/>
  <c r="J29" i="3"/>
  <c r="L28" i="3"/>
  <c r="K28" i="3"/>
  <c r="J28" i="3"/>
  <c r="K27" i="3"/>
  <c r="J27" i="3"/>
  <c r="L27" i="3" s="1"/>
  <c r="L26" i="3"/>
  <c r="K26" i="3"/>
  <c r="J26" i="3"/>
  <c r="L25" i="3"/>
  <c r="K25" i="3"/>
  <c r="J25" i="3"/>
  <c r="L24" i="3"/>
  <c r="K24" i="3"/>
  <c r="J24" i="3"/>
  <c r="K23" i="3"/>
  <c r="J23" i="3"/>
  <c r="L23" i="3" s="1"/>
  <c r="L22" i="3"/>
  <c r="K22" i="3"/>
  <c r="J22" i="3"/>
  <c r="L21" i="3"/>
  <c r="K21" i="3"/>
  <c r="J21" i="3"/>
  <c r="L20" i="3"/>
  <c r="K20" i="3"/>
  <c r="J20" i="3"/>
  <c r="K19" i="3"/>
  <c r="J19" i="3"/>
  <c r="L19" i="3" s="1"/>
  <c r="L18" i="3"/>
  <c r="K18" i="3"/>
  <c r="J18" i="3"/>
  <c r="L17" i="3"/>
  <c r="K17" i="3"/>
  <c r="J17" i="3"/>
  <c r="L16" i="3"/>
  <c r="K16" i="3"/>
  <c r="J16" i="3"/>
  <c r="K15" i="3"/>
  <c r="J15" i="3"/>
  <c r="L15" i="3" s="1"/>
  <c r="L14" i="3"/>
  <c r="K14" i="3"/>
  <c r="J14" i="3"/>
  <c r="L13" i="3"/>
  <c r="K13" i="3"/>
  <c r="J13" i="3"/>
  <c r="L12" i="3"/>
  <c r="K12" i="3"/>
  <c r="J12" i="3"/>
  <c r="K11" i="3"/>
  <c r="J11" i="3"/>
  <c r="L11" i="3" s="1"/>
  <c r="L10" i="3"/>
  <c r="K10" i="3"/>
  <c r="J10" i="3"/>
  <c r="L9" i="3"/>
  <c r="K9" i="3"/>
  <c r="J9" i="3"/>
  <c r="L8" i="3"/>
  <c r="K8" i="3"/>
  <c r="J8" i="3"/>
  <c r="K7" i="3"/>
  <c r="J7" i="3"/>
  <c r="L7" i="3" s="1"/>
  <c r="L6" i="3"/>
  <c r="K6" i="3"/>
  <c r="J6" i="3"/>
  <c r="L5" i="3"/>
  <c r="K5" i="3"/>
  <c r="J5" i="3"/>
  <c r="L4" i="3"/>
  <c r="K4" i="3"/>
  <c r="J4" i="3"/>
  <c r="K3" i="3"/>
  <c r="J3" i="3"/>
  <c r="L3" i="3" s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3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3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</calcChain>
</file>

<file path=xl/sharedStrings.xml><?xml version="1.0" encoding="utf-8"?>
<sst xmlns="http://schemas.openxmlformats.org/spreadsheetml/2006/main" count="445" uniqueCount="162">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</sst>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Aptos Narrow"/>
      <family val="2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53"/>
  <sheetViews>
    <sheetView workbookViewId="0">
      <selection activeCell="A2" sqref="A2:B53"/>
    </sheetView>
  </sheetViews>
  <sheetFormatPr defaultRowHeight="14.5"/>
  <cols>
    <col min="1" max="1" width="26.54296875" bestFit="1" customWidth="1"/>
    <col min="2" max="2" width="16" bestFit="1" customWidth="1"/>
    <col min="3" max="3" width="24" customWidth="1"/>
    <col min="4" max="4" width="12.269531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31</v>
      </c>
      <c r="B2" t="s">
        <v>32</v>
      </c>
      <c r="C2" s="2">
        <v>4348941254.7987995</v>
      </c>
      <c r="D2">
        <v>1</v>
      </c>
      <c r="E2" t="s">
        <v>66</v>
      </c>
    </row>
    <row r="3" spans="1:5">
      <c r="A3" t="s">
        <v>122</v>
      </c>
      <c r="B3" t="s">
        <v>123</v>
      </c>
      <c r="C3">
        <v>4003797510.1447997</v>
      </c>
      <c r="D3">
        <v>2</v>
      </c>
      <c r="E3" t="s">
        <v>124</v>
      </c>
    </row>
    <row r="4" spans="1:5">
      <c r="A4" s="2" t="s">
        <v>24</v>
      </c>
      <c r="B4" t="s">
        <v>20</v>
      </c>
      <c r="C4" s="2">
        <v>3774782026.3442001</v>
      </c>
      <c r="D4">
        <v>3</v>
      </c>
      <c r="E4" t="s">
        <v>65</v>
      </c>
    </row>
    <row r="5" spans="1:5">
      <c r="A5" s="2" t="s">
        <v>46</v>
      </c>
      <c r="B5" t="s">
        <v>45</v>
      </c>
      <c r="C5" s="2">
        <v>3248375778.1055999</v>
      </c>
      <c r="D5">
        <v>4</v>
      </c>
      <c r="E5" t="s">
        <v>67</v>
      </c>
    </row>
    <row r="6" spans="1:5">
      <c r="A6" s="1" t="s">
        <v>5</v>
      </c>
      <c r="B6" t="s">
        <v>3</v>
      </c>
      <c r="C6" s="2">
        <v>2938825004.5942001</v>
      </c>
      <c r="D6">
        <v>5</v>
      </c>
      <c r="E6" t="s">
        <v>3</v>
      </c>
    </row>
    <row r="7" spans="1:5">
      <c r="A7" s="1" t="s">
        <v>1</v>
      </c>
      <c r="B7" t="s">
        <v>0</v>
      </c>
      <c r="C7" s="2">
        <v>2012790898.28</v>
      </c>
      <c r="D7">
        <v>6</v>
      </c>
      <c r="E7" t="s">
        <v>0</v>
      </c>
    </row>
    <row r="8" spans="1:5">
      <c r="A8" s="2" t="s">
        <v>44</v>
      </c>
      <c r="B8" t="s">
        <v>43</v>
      </c>
      <c r="C8" s="2">
        <v>1979902147.681</v>
      </c>
      <c r="D8">
        <v>7</v>
      </c>
      <c r="E8" t="s">
        <v>43</v>
      </c>
    </row>
    <row r="9" spans="1:5">
      <c r="A9" s="2" t="s">
        <v>48</v>
      </c>
      <c r="B9" s="2" t="s">
        <v>47</v>
      </c>
      <c r="C9" s="2">
        <v>1385755540.3439999</v>
      </c>
      <c r="D9">
        <v>8</v>
      </c>
      <c r="E9" t="s">
        <v>68</v>
      </c>
    </row>
    <row r="10" spans="1:5">
      <c r="A10" t="s">
        <v>141</v>
      </c>
      <c r="B10" t="s">
        <v>142</v>
      </c>
      <c r="C10">
        <v>1284761330.7361</v>
      </c>
      <c r="D10">
        <v>9</v>
      </c>
      <c r="E10" t="s">
        <v>143</v>
      </c>
    </row>
    <row r="11" spans="1:5">
      <c r="A11" s="2" t="s">
        <v>60</v>
      </c>
      <c r="B11" t="s">
        <v>106</v>
      </c>
      <c r="C11" s="2">
        <v>1111689499.0688</v>
      </c>
      <c r="D11">
        <v>10</v>
      </c>
      <c r="E11" t="s">
        <v>59</v>
      </c>
    </row>
    <row r="12" spans="1:5">
      <c r="A12" s="2" t="s">
        <v>50</v>
      </c>
      <c r="B12" t="s">
        <v>49</v>
      </c>
      <c r="C12" s="2">
        <v>821606745.99040008</v>
      </c>
      <c r="D12">
        <v>11</v>
      </c>
      <c r="E12" t="s">
        <v>71</v>
      </c>
    </row>
    <row r="13" spans="1:5">
      <c r="A13" t="s">
        <v>125</v>
      </c>
      <c r="B13" t="s">
        <v>126</v>
      </c>
      <c r="C13">
        <v>811303133.25059998</v>
      </c>
      <c r="D13">
        <v>12</v>
      </c>
      <c r="E13" t="s">
        <v>127</v>
      </c>
    </row>
    <row r="14" spans="1:5">
      <c r="A14" t="s">
        <v>134</v>
      </c>
      <c r="B14" t="s">
        <v>135</v>
      </c>
      <c r="C14">
        <v>800339243.25639999</v>
      </c>
      <c r="D14">
        <v>13</v>
      </c>
      <c r="E14" t="s">
        <v>136</v>
      </c>
    </row>
    <row r="15" spans="1:5">
      <c r="A15" s="3" t="s">
        <v>90</v>
      </c>
      <c r="B15" t="s">
        <v>88</v>
      </c>
      <c r="C15" s="2">
        <v>738436967.85400009</v>
      </c>
      <c r="D15">
        <v>14</v>
      </c>
      <c r="E15" t="s">
        <v>89</v>
      </c>
    </row>
    <row r="16" spans="1:5">
      <c r="A16" s="2" t="s">
        <v>95</v>
      </c>
      <c r="B16" t="s">
        <v>94</v>
      </c>
      <c r="C16" s="2">
        <v>728782445.88909996</v>
      </c>
      <c r="D16">
        <v>15</v>
      </c>
      <c r="E16" t="s">
        <v>137</v>
      </c>
    </row>
    <row r="17" spans="1:5">
      <c r="A17" t="s">
        <v>6</v>
      </c>
      <c r="B17" t="s">
        <v>4</v>
      </c>
      <c r="C17" s="2">
        <v>692615308.15999997</v>
      </c>
      <c r="D17">
        <v>16</v>
      </c>
      <c r="E17" t="s">
        <v>4</v>
      </c>
    </row>
    <row r="18" spans="1:5">
      <c r="A18" s="2" t="s">
        <v>40</v>
      </c>
      <c r="B18" t="s">
        <v>39</v>
      </c>
      <c r="C18" s="2">
        <v>685404425.62129998</v>
      </c>
      <c r="D18">
        <v>17</v>
      </c>
      <c r="E18" t="s">
        <v>69</v>
      </c>
    </row>
    <row r="19" spans="1:5">
      <c r="A19" t="s">
        <v>131</v>
      </c>
      <c r="B19" t="s">
        <v>132</v>
      </c>
      <c r="C19">
        <v>677708779.17080009</v>
      </c>
      <c r="D19">
        <v>18</v>
      </c>
      <c r="E19" t="s">
        <v>133</v>
      </c>
    </row>
    <row r="20" spans="1:5">
      <c r="A20" t="s">
        <v>97</v>
      </c>
      <c r="B20" t="s">
        <v>98</v>
      </c>
      <c r="C20">
        <v>593489065.87600005</v>
      </c>
      <c r="D20">
        <v>19</v>
      </c>
      <c r="E20" t="s">
        <v>99</v>
      </c>
    </row>
    <row r="21" spans="1:5">
      <c r="A21" s="2" t="s">
        <v>29</v>
      </c>
      <c r="B21" t="s">
        <v>27</v>
      </c>
      <c r="C21" s="2">
        <v>589635534.23020005</v>
      </c>
      <c r="D21">
        <v>20</v>
      </c>
      <c r="E21" t="s">
        <v>72</v>
      </c>
    </row>
    <row r="22" spans="1:5">
      <c r="A22" t="s">
        <v>154</v>
      </c>
      <c r="B22" t="s">
        <v>155</v>
      </c>
      <c r="C22">
        <v>556930336.76709998</v>
      </c>
      <c r="D22">
        <v>21</v>
      </c>
      <c r="E22" t="s">
        <v>156</v>
      </c>
    </row>
    <row r="23" spans="1:5">
      <c r="A23" s="2" t="s">
        <v>28</v>
      </c>
      <c r="B23" t="s">
        <v>26</v>
      </c>
      <c r="C23" s="2">
        <v>504636131.2791</v>
      </c>
      <c r="D23">
        <v>22</v>
      </c>
      <c r="E23" t="s">
        <v>70</v>
      </c>
    </row>
    <row r="24" spans="1:5">
      <c r="A24" s="2" t="s">
        <v>93</v>
      </c>
      <c r="B24" t="s">
        <v>91</v>
      </c>
      <c r="C24" s="2">
        <v>486880037.8872</v>
      </c>
      <c r="D24">
        <v>23</v>
      </c>
      <c r="E24" t="s">
        <v>92</v>
      </c>
    </row>
    <row r="25" spans="1:5">
      <c r="A25" t="s">
        <v>107</v>
      </c>
      <c r="B25" t="s">
        <v>108</v>
      </c>
      <c r="C25">
        <v>448339514.95200002</v>
      </c>
      <c r="D25">
        <v>24</v>
      </c>
      <c r="E25" t="s">
        <v>109</v>
      </c>
    </row>
    <row r="26" spans="1:5">
      <c r="A26" t="s">
        <v>144</v>
      </c>
      <c r="B26" t="s">
        <v>150</v>
      </c>
      <c r="C26">
        <v>417445728.44319999</v>
      </c>
      <c r="D26">
        <v>25</v>
      </c>
      <c r="E26" t="s">
        <v>146</v>
      </c>
    </row>
    <row r="27" spans="1:5">
      <c r="A27" t="s">
        <v>110</v>
      </c>
      <c r="B27" t="s">
        <v>111</v>
      </c>
      <c r="C27">
        <v>359936250.26420003</v>
      </c>
      <c r="D27">
        <v>26</v>
      </c>
      <c r="E27" t="s">
        <v>112</v>
      </c>
    </row>
    <row r="28" spans="1:5">
      <c r="A28" s="2" t="s">
        <v>14</v>
      </c>
      <c r="B28" t="s">
        <v>12</v>
      </c>
      <c r="C28" s="2">
        <v>315864384.70749998</v>
      </c>
      <c r="D28">
        <v>27</v>
      </c>
      <c r="E28" t="s">
        <v>73</v>
      </c>
    </row>
    <row r="29" spans="1:5">
      <c r="A29" t="s">
        <v>138</v>
      </c>
      <c r="B29" t="s">
        <v>139</v>
      </c>
      <c r="C29">
        <v>313414608.78100002</v>
      </c>
      <c r="D29">
        <v>28</v>
      </c>
      <c r="E29" t="s">
        <v>140</v>
      </c>
    </row>
    <row r="30" spans="1:5">
      <c r="A30" t="s">
        <v>113</v>
      </c>
      <c r="B30" t="s">
        <v>114</v>
      </c>
      <c r="C30">
        <v>310619299.91360003</v>
      </c>
      <c r="D30">
        <v>29</v>
      </c>
      <c r="E30" t="s">
        <v>115</v>
      </c>
    </row>
    <row r="31" spans="1:5">
      <c r="A31" t="s">
        <v>100</v>
      </c>
      <c r="B31" t="s">
        <v>101</v>
      </c>
      <c r="C31">
        <v>301375587.34799999</v>
      </c>
      <c r="D31">
        <v>30</v>
      </c>
      <c r="E31" t="s">
        <v>102</v>
      </c>
    </row>
    <row r="32" spans="1:5">
      <c r="A32" s="2" t="s">
        <v>23</v>
      </c>
      <c r="B32" t="s">
        <v>18</v>
      </c>
      <c r="C32" s="2">
        <v>238599332.528</v>
      </c>
      <c r="D32">
        <v>31</v>
      </c>
      <c r="E32" t="s">
        <v>78</v>
      </c>
    </row>
    <row r="33" spans="1:5">
      <c r="A33" t="s">
        <v>116</v>
      </c>
      <c r="B33" t="s">
        <v>117</v>
      </c>
      <c r="C33">
        <v>197589322.26839998</v>
      </c>
      <c r="D33">
        <v>32</v>
      </c>
      <c r="E33" t="s">
        <v>118</v>
      </c>
    </row>
    <row r="34" spans="1:5">
      <c r="A34" s="2" t="s">
        <v>37</v>
      </c>
      <c r="B34" t="s">
        <v>38</v>
      </c>
      <c r="C34" s="2">
        <v>194189104.78799999</v>
      </c>
      <c r="D34">
        <v>33</v>
      </c>
      <c r="E34" t="s">
        <v>75</v>
      </c>
    </row>
    <row r="35" spans="1:5">
      <c r="A35" s="2" t="s">
        <v>64</v>
      </c>
      <c r="B35" t="s">
        <v>63</v>
      </c>
      <c r="C35" s="2">
        <v>180090133.9522</v>
      </c>
      <c r="D35">
        <v>34</v>
      </c>
      <c r="E35" t="s">
        <v>76</v>
      </c>
    </row>
    <row r="36" spans="1:5">
      <c r="A36" t="s">
        <v>147</v>
      </c>
      <c r="B36" t="s">
        <v>148</v>
      </c>
      <c r="C36">
        <v>162040547.17699999</v>
      </c>
      <c r="D36">
        <v>35</v>
      </c>
      <c r="E36" t="s">
        <v>149</v>
      </c>
    </row>
    <row r="37" spans="1:5">
      <c r="A37" s="2" t="s">
        <v>15</v>
      </c>
      <c r="B37" t="s">
        <v>11</v>
      </c>
      <c r="C37" s="2">
        <v>154925959.66749999</v>
      </c>
      <c r="D37">
        <v>36</v>
      </c>
      <c r="E37" t="s">
        <v>79</v>
      </c>
    </row>
    <row r="38" spans="1:5">
      <c r="A38" t="s">
        <v>58</v>
      </c>
      <c r="B38" s="2" t="s">
        <v>57</v>
      </c>
      <c r="C38" s="2">
        <v>136433830.55849999</v>
      </c>
      <c r="D38">
        <v>37</v>
      </c>
      <c r="E38" t="s">
        <v>74</v>
      </c>
    </row>
    <row r="39" spans="1:5">
      <c r="A39" s="2" t="s">
        <v>41</v>
      </c>
      <c r="B39" s="2" t="s">
        <v>42</v>
      </c>
      <c r="C39" s="2">
        <v>133819927.1758</v>
      </c>
      <c r="D39">
        <v>38</v>
      </c>
      <c r="E39" t="s">
        <v>77</v>
      </c>
    </row>
    <row r="40" spans="1:5">
      <c r="A40" s="2" t="s">
        <v>52</v>
      </c>
      <c r="B40" s="2" t="s">
        <v>51</v>
      </c>
      <c r="C40" s="2">
        <v>120817594.3212</v>
      </c>
      <c r="D40">
        <v>39</v>
      </c>
      <c r="E40" t="s">
        <v>83</v>
      </c>
    </row>
    <row r="41" spans="1:5">
      <c r="A41" s="2" t="s">
        <v>16</v>
      </c>
      <c r="B41" t="s">
        <v>13</v>
      </c>
      <c r="C41" s="2">
        <v>111604022.464</v>
      </c>
      <c r="D41">
        <v>40</v>
      </c>
      <c r="E41" t="s">
        <v>81</v>
      </c>
    </row>
    <row r="42" spans="1:5">
      <c r="A42" t="s">
        <v>119</v>
      </c>
      <c r="B42" t="s">
        <v>120</v>
      </c>
      <c r="C42">
        <v>104920327.2648</v>
      </c>
      <c r="D42">
        <v>41</v>
      </c>
      <c r="E42" t="s">
        <v>121</v>
      </c>
    </row>
    <row r="43" spans="1:5">
      <c r="A43" s="2" t="s">
        <v>21</v>
      </c>
      <c r="B43" t="s">
        <v>19</v>
      </c>
      <c r="C43" s="2">
        <v>85138524.083200008</v>
      </c>
      <c r="D43">
        <v>42</v>
      </c>
      <c r="E43" t="s">
        <v>84</v>
      </c>
    </row>
    <row r="44" spans="1:5">
      <c r="A44" s="2" t="s">
        <v>30</v>
      </c>
      <c r="B44" t="s">
        <v>25</v>
      </c>
      <c r="C44" s="2">
        <v>65370627.055800006</v>
      </c>
      <c r="D44">
        <v>43</v>
      </c>
      <c r="E44" t="s">
        <v>80</v>
      </c>
    </row>
    <row r="45" spans="1:5">
      <c r="A45" s="2" t="s">
        <v>22</v>
      </c>
      <c r="B45" t="s">
        <v>17</v>
      </c>
      <c r="C45" s="2">
        <v>62913253.0348</v>
      </c>
      <c r="D45">
        <v>44</v>
      </c>
      <c r="E45" t="s">
        <v>82</v>
      </c>
    </row>
    <row r="46" spans="1:5">
      <c r="A46" s="2" t="s">
        <v>54</v>
      </c>
      <c r="B46" t="s">
        <v>53</v>
      </c>
      <c r="C46" s="2">
        <v>60687543.725400001</v>
      </c>
      <c r="D46">
        <v>45</v>
      </c>
      <c r="E46" t="s">
        <v>86</v>
      </c>
    </row>
    <row r="47" spans="1:5">
      <c r="A47" s="2" t="s">
        <v>36</v>
      </c>
      <c r="B47" t="s">
        <v>35</v>
      </c>
      <c r="C47" s="2">
        <v>37230906.711999997</v>
      </c>
      <c r="D47">
        <v>46</v>
      </c>
      <c r="E47" t="s">
        <v>87</v>
      </c>
    </row>
    <row r="48" spans="1:5">
      <c r="A48" s="2" t="s">
        <v>34</v>
      </c>
      <c r="B48" t="s">
        <v>33</v>
      </c>
      <c r="C48" s="2">
        <v>29539074.563200001</v>
      </c>
      <c r="D48">
        <v>47</v>
      </c>
      <c r="E48" t="s">
        <v>96</v>
      </c>
    </row>
    <row r="49" spans="1:5">
      <c r="A49" s="3" t="s">
        <v>56</v>
      </c>
      <c r="B49" t="s">
        <v>55</v>
      </c>
      <c r="C49" s="2">
        <v>27681815.642499998</v>
      </c>
      <c r="D49">
        <v>48</v>
      </c>
      <c r="E49" t="s">
        <v>85</v>
      </c>
    </row>
    <row r="50" spans="1:5">
      <c r="A50" t="s">
        <v>128</v>
      </c>
      <c r="B50" t="s">
        <v>129</v>
      </c>
      <c r="C50">
        <v>27049554.524999999</v>
      </c>
      <c r="D50">
        <v>49</v>
      </c>
      <c r="E50" t="s">
        <v>130</v>
      </c>
    </row>
    <row r="51" spans="1:5">
      <c r="A51" t="s">
        <v>151</v>
      </c>
      <c r="B51" t="s">
        <v>145</v>
      </c>
      <c r="C51">
        <v>25491588.609999999</v>
      </c>
      <c r="D51">
        <v>50</v>
      </c>
      <c r="E51" t="s">
        <v>152</v>
      </c>
    </row>
    <row r="52" spans="1:5">
      <c r="A52" s="2" t="s">
        <v>62</v>
      </c>
      <c r="B52" t="s">
        <v>61</v>
      </c>
      <c r="C52" s="2">
        <v>11642777.654300001</v>
      </c>
      <c r="D52">
        <v>51</v>
      </c>
      <c r="E52" t="s">
        <v>153</v>
      </c>
    </row>
    <row r="53" spans="1:5">
      <c r="A53" t="s">
        <v>103</v>
      </c>
      <c r="B53" t="s">
        <v>104</v>
      </c>
      <c r="C53">
        <v>1332479.6470000001</v>
      </c>
      <c r="D53">
        <v>52</v>
      </c>
      <c r="E53" t="s">
        <v>105</v>
      </c>
    </row>
  </sheetData>
  <autoFilter ref="A1:E1" xr:uid="{F35CEFC1-B3C5-47E8-B313-C5CF74631A2D}">
    <sortState xmlns:xlrd2="http://schemas.microsoft.com/office/spreadsheetml/2017/richdata2" ref="A2:E53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F53"/>
  <sheetViews>
    <sheetView workbookViewId="0">
      <selection activeCell="B38" sqref="B38"/>
    </sheetView>
  </sheetViews>
  <sheetFormatPr defaultRowHeight="14.5"/>
  <cols>
    <col min="1" max="1" width="26.54296875" bestFit="1" customWidth="1"/>
    <col min="2" max="3" width="16" bestFit="1" customWidth="1"/>
    <col min="4" max="4" width="8.1796875" bestFit="1" customWidth="1"/>
    <col min="5" max="6" width="12" bestFit="1" customWidth="1"/>
  </cols>
  <sheetData>
    <row r="1" spans="1:6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</row>
    <row r="2" spans="1:6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6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6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6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6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6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6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6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6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6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6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6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6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6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6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s="2" t="s">
        <v>21</v>
      </c>
      <c r="B43" t="s">
        <v>19</v>
      </c>
      <c r="C43" t="s">
        <v>84</v>
      </c>
      <c r="D43">
        <v>42</v>
      </c>
      <c r="E43" s="2">
        <v>50149726.883000001</v>
      </c>
      <c r="F43">
        <v>85138524.083200008</v>
      </c>
    </row>
    <row r="44" spans="1:6">
      <c r="A44" s="2" t="s">
        <v>30</v>
      </c>
      <c r="B44" t="s">
        <v>25</v>
      </c>
      <c r="C44" t="s">
        <v>80</v>
      </c>
      <c r="D44">
        <v>43</v>
      </c>
      <c r="E44" s="2">
        <v>59153909.284900002</v>
      </c>
      <c r="F44">
        <v>65370627.055800006</v>
      </c>
    </row>
    <row r="45" spans="1:6">
      <c r="A45" s="2" t="s">
        <v>22</v>
      </c>
      <c r="B45" t="s">
        <v>17</v>
      </c>
      <c r="C45" t="s">
        <v>82</v>
      </c>
      <c r="D45">
        <v>44</v>
      </c>
      <c r="E45" s="2">
        <v>53041131.842299998</v>
      </c>
      <c r="F45">
        <v>62913253.0348</v>
      </c>
    </row>
    <row r="46" spans="1:6">
      <c r="A46" s="2" t="s">
        <v>54</v>
      </c>
      <c r="B46" t="s">
        <v>53</v>
      </c>
      <c r="C46" t="s">
        <v>86</v>
      </c>
      <c r="D46">
        <v>45</v>
      </c>
      <c r="E46" s="2">
        <v>43858659.606399998</v>
      </c>
      <c r="F46">
        <v>60687543.725400001</v>
      </c>
    </row>
    <row r="47" spans="1:6">
      <c r="A47" s="2" t="s">
        <v>36</v>
      </c>
      <c r="B47" t="s">
        <v>35</v>
      </c>
      <c r="C47" t="s">
        <v>87</v>
      </c>
      <c r="D47">
        <v>46</v>
      </c>
      <c r="E47" s="2">
        <v>3544060.574</v>
      </c>
      <c r="F47">
        <v>37230906.711999997</v>
      </c>
    </row>
    <row r="48" spans="1:6">
      <c r="A48" s="2" t="s">
        <v>34</v>
      </c>
      <c r="B48" t="s">
        <v>33</v>
      </c>
      <c r="C48" t="s">
        <v>96</v>
      </c>
      <c r="D48">
        <v>47</v>
      </c>
      <c r="E48" s="2">
        <v>20362497.193599999</v>
      </c>
      <c r="F48">
        <v>29539074.563200001</v>
      </c>
    </row>
    <row r="49" spans="1:6">
      <c r="A49" s="3" t="s">
        <v>56</v>
      </c>
      <c r="B49" t="s">
        <v>55</v>
      </c>
      <c r="C49" t="s">
        <v>85</v>
      </c>
      <c r="D49">
        <v>48</v>
      </c>
      <c r="E49" s="2">
        <v>18949434.361499999</v>
      </c>
      <c r="F49">
        <v>27681815.642499998</v>
      </c>
    </row>
    <row r="50" spans="1:6">
      <c r="A50" t="s">
        <v>128</v>
      </c>
      <c r="B50" t="s">
        <v>129</v>
      </c>
      <c r="C50" t="s">
        <v>130</v>
      </c>
      <c r="D50">
        <v>49</v>
      </c>
      <c r="E50">
        <v>28198724.971999999</v>
      </c>
      <c r="F50">
        <v>27049554.524999999</v>
      </c>
    </row>
    <row r="51" spans="1:6">
      <c r="A51" t="s">
        <v>151</v>
      </c>
      <c r="B51" t="s">
        <v>145</v>
      </c>
      <c r="C51" t="s">
        <v>152</v>
      </c>
      <c r="D51">
        <v>50</v>
      </c>
      <c r="E51">
        <v>6053416.017</v>
      </c>
      <c r="F51">
        <v>25491588.609999999</v>
      </c>
    </row>
    <row r="52" spans="1:6">
      <c r="A52" s="2" t="s">
        <v>62</v>
      </c>
      <c r="B52" t="s">
        <v>61</v>
      </c>
      <c r="C52" t="s">
        <v>153</v>
      </c>
      <c r="D52">
        <v>51</v>
      </c>
      <c r="E52" s="2">
        <v>8692015.4945</v>
      </c>
      <c r="F52">
        <v>11642777.654300001</v>
      </c>
    </row>
    <row r="53" spans="1:6">
      <c r="A53" t="s">
        <v>103</v>
      </c>
      <c r="B53" t="s">
        <v>104</v>
      </c>
      <c r="C53" t="s">
        <v>105</v>
      </c>
      <c r="D53">
        <v>52</v>
      </c>
      <c r="E53">
        <v>824668.91949999996</v>
      </c>
      <c r="F53">
        <v>1332479.6470000001</v>
      </c>
    </row>
  </sheetData>
  <autoFilter ref="A1:F1" xr:uid="{A5788FF4-0F5B-4C97-BD54-4A086642F406}">
    <sortState xmlns:xlrd2="http://schemas.microsoft.com/office/spreadsheetml/2017/richdata2" ref="A2:F53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U54"/>
  <sheetViews>
    <sheetView tabSelected="1" workbookViewId="0">
      <selection activeCell="S2" sqref="S2"/>
    </sheetView>
  </sheetViews>
  <sheetFormatPr defaultRowHeight="14.5"/>
  <cols>
    <col min="1" max="1" width="30.36328125" customWidth="1"/>
    <col min="2" max="2" width="25.1796875" bestFit="1" customWidth="1"/>
    <col min="3" max="3" width="14.90625" bestFit="1" customWidth="1"/>
    <col min="4" max="4" width="11.6328125" bestFit="1" customWidth="1"/>
    <col min="5" max="5" width="12.54296875" bestFit="1" customWidth="1"/>
    <col min="6" max="6" width="19.54296875" bestFit="1" customWidth="1"/>
    <col min="7" max="7" width="11.6328125" bestFit="1" customWidth="1"/>
    <col min="8" max="8" width="12.54296875" bestFit="1" customWidth="1"/>
    <col min="9" max="9" width="11.81640625" bestFit="1" customWidth="1"/>
    <col min="10" max="10" width="10.08984375" bestFit="1" customWidth="1"/>
    <col min="11" max="11" width="11.81640625" bestFit="1" customWidth="1"/>
    <col min="12" max="12" width="10.81640625" bestFit="1" customWidth="1"/>
    <col min="13" max="13" width="11.6328125" bestFit="1" customWidth="1"/>
    <col min="14" max="14" width="12.54296875" bestFit="1" customWidth="1"/>
    <col min="15" max="15" width="11.81640625" bestFit="1" customWidth="1"/>
    <col min="16" max="16" width="10.08984375" bestFit="1" customWidth="1"/>
    <col min="19" max="19" width="10.08984375" bestFit="1" customWidth="1"/>
  </cols>
  <sheetData>
    <row r="1" spans="1:21">
      <c r="A1" s="4"/>
      <c r="D1" s="4">
        <v>45539</v>
      </c>
      <c r="G1" s="4">
        <v>45540</v>
      </c>
      <c r="J1" s="4">
        <v>45541</v>
      </c>
      <c r="M1" s="4">
        <v>45541</v>
      </c>
      <c r="P1" s="4">
        <v>45542</v>
      </c>
      <c r="S1" s="4">
        <v>45543</v>
      </c>
    </row>
    <row r="2" spans="1:21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</row>
    <row r="3" spans="1:21">
      <c r="B3" s="2" t="s">
        <v>31</v>
      </c>
      <c r="C3" t="s">
        <v>32</v>
      </c>
      <c r="D3">
        <v>473268357</v>
      </c>
      <c r="E3">
        <v>3994952855.1083999</v>
      </c>
      <c r="F3" s="5">
        <f>SUM($D$3+$E$3)</f>
        <v>4468221212.1084003</v>
      </c>
      <c r="G3">
        <f>D3*1.1</f>
        <v>520595192.70000005</v>
      </c>
      <c r="H3">
        <f>E3*1.1</f>
        <v>4394448140.6192398</v>
      </c>
      <c r="I3">
        <f>G3+H3</f>
        <v>4915043333.3192396</v>
      </c>
      <c r="J3">
        <f>G3*1.1</f>
        <v>572654711.97000015</v>
      </c>
      <c r="K3">
        <f>H3*1.1</f>
        <v>4833892954.6811638</v>
      </c>
      <c r="L3">
        <f>J3+K3</f>
        <v>5406547666.6511641</v>
      </c>
      <c r="M3">
        <f>J3*1.1</f>
        <v>629920183.16700017</v>
      </c>
      <c r="N3">
        <f>K3*1.1</f>
        <v>5317282250.1492805</v>
      </c>
      <c r="O3">
        <f>M3+N3</f>
        <v>5947202433.3162804</v>
      </c>
      <c r="P3">
        <f>M3*1.1</f>
        <v>692912201.48370028</v>
      </c>
      <c r="Q3">
        <f>N3*1.1</f>
        <v>5849010475.1642094</v>
      </c>
      <c r="R3">
        <f>P3+Q3</f>
        <v>6541922676.6479092</v>
      </c>
      <c r="S3">
        <f>P3*1.1</f>
        <v>762203421.63207042</v>
      </c>
      <c r="T3">
        <f>Q3*1.1</f>
        <v>6433911522.6806307</v>
      </c>
      <c r="U3">
        <f>S3+T3</f>
        <v>7196114944.3127012</v>
      </c>
    </row>
    <row r="4" spans="1:21">
      <c r="B4" t="s">
        <v>122</v>
      </c>
      <c r="C4" t="s">
        <v>123</v>
      </c>
      <c r="D4">
        <v>465215851</v>
      </c>
      <c r="E4">
        <v>3513030977.2413998</v>
      </c>
      <c r="F4">
        <f>SUM($D$4+$E$4)</f>
        <v>3978246828.2413998</v>
      </c>
      <c r="G4">
        <f t="shared" ref="G4:H54" si="0">D4*1.1</f>
        <v>511737436.10000002</v>
      </c>
      <c r="H4">
        <f t="shared" si="0"/>
        <v>3864334074.9655399</v>
      </c>
      <c r="I4">
        <f t="shared" ref="I4:I54" si="1">G4+H4</f>
        <v>4376071511.0655403</v>
      </c>
      <c r="J4">
        <f t="shared" ref="J4:J54" si="2">G4*1.1</f>
        <v>562911179.71000004</v>
      </c>
      <c r="K4">
        <f t="shared" ref="K4:K54" si="3">H4*1.1</f>
        <v>4250767482.4620943</v>
      </c>
      <c r="L4">
        <f t="shared" ref="L4:L54" si="4">J4+K4</f>
        <v>4813678662.1720943</v>
      </c>
      <c r="M4">
        <f t="shared" ref="M4:M54" si="5">J4*1.1</f>
        <v>619202297.68100011</v>
      </c>
      <c r="N4">
        <f t="shared" ref="N4:N54" si="6">K4*1.1</f>
        <v>4675844230.7083044</v>
      </c>
      <c r="O4">
        <f t="shared" ref="O4:O54" si="7">M4+N4</f>
        <v>5295046528.3893042</v>
      </c>
      <c r="P4">
        <f t="shared" ref="P4:P54" si="8">M4*1.1</f>
        <v>681122527.44910014</v>
      </c>
      <c r="Q4">
        <f t="shared" ref="Q4:Q54" si="9">N4*1.1</f>
        <v>5143428653.7791357</v>
      </c>
      <c r="R4">
        <f t="shared" ref="R4:R54" si="10">P4+Q4</f>
        <v>5824551181.2282362</v>
      </c>
      <c r="S4">
        <f t="shared" ref="S4:S54" si="11">P4*1.1</f>
        <v>749234780.19401026</v>
      </c>
      <c r="T4">
        <f t="shared" ref="T4:T54" si="12">Q4*1.1</f>
        <v>5657771519.1570501</v>
      </c>
      <c r="U4">
        <f t="shared" ref="U4:U54" si="13">S4+T4</f>
        <v>6407006299.3510609</v>
      </c>
    </row>
    <row r="5" spans="1:21">
      <c r="B5" s="2" t="s">
        <v>24</v>
      </c>
      <c r="C5" t="s">
        <v>20</v>
      </c>
      <c r="D5">
        <v>452551276</v>
      </c>
      <c r="E5">
        <v>3321047538.9260001</v>
      </c>
      <c r="F5">
        <f>SUM($D$5+$E$5)</f>
        <v>3773598814.9260001</v>
      </c>
      <c r="G5">
        <f t="shared" si="0"/>
        <v>497806403.60000002</v>
      </c>
      <c r="H5">
        <f t="shared" si="0"/>
        <v>3653152292.8186007</v>
      </c>
      <c r="I5">
        <f t="shared" si="1"/>
        <v>4150958696.4186006</v>
      </c>
      <c r="J5">
        <f t="shared" si="2"/>
        <v>547587043.96000004</v>
      </c>
      <c r="K5">
        <f t="shared" si="3"/>
        <v>4018467522.100461</v>
      </c>
      <c r="L5">
        <f t="shared" si="4"/>
        <v>4566054566.060461</v>
      </c>
      <c r="M5">
        <f t="shared" si="5"/>
        <v>602345748.35600007</v>
      </c>
      <c r="N5">
        <f t="shared" si="6"/>
        <v>4420314274.3105078</v>
      </c>
      <c r="O5">
        <f t="shared" si="7"/>
        <v>5022660022.6665077</v>
      </c>
      <c r="P5">
        <f t="shared" si="8"/>
        <v>662580323.19160008</v>
      </c>
      <c r="Q5">
        <f t="shared" si="9"/>
        <v>4862345701.741559</v>
      </c>
      <c r="R5">
        <f t="shared" si="10"/>
        <v>5524926024.9331589</v>
      </c>
      <c r="S5">
        <f t="shared" si="11"/>
        <v>728838355.51076019</v>
      </c>
      <c r="T5">
        <f t="shared" si="12"/>
        <v>5348580271.9157152</v>
      </c>
      <c r="U5">
        <f t="shared" si="13"/>
        <v>6077418627.4264755</v>
      </c>
    </row>
    <row r="6" spans="1:21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f t="shared" si="0"/>
        <v>459754715.20000005</v>
      </c>
      <c r="H6">
        <f t="shared" si="0"/>
        <v>3061184820.2161608</v>
      </c>
      <c r="I6">
        <f t="shared" si="1"/>
        <v>3520939535.4161606</v>
      </c>
      <c r="J6">
        <f t="shared" si="2"/>
        <v>505730186.72000009</v>
      </c>
      <c r="K6">
        <f t="shared" si="3"/>
        <v>3367303302.2377772</v>
      </c>
      <c r="L6">
        <f t="shared" si="4"/>
        <v>3873033488.9577775</v>
      </c>
      <c r="M6">
        <f t="shared" si="5"/>
        <v>556303205.3920002</v>
      </c>
      <c r="N6">
        <f t="shared" si="6"/>
        <v>3704033632.4615555</v>
      </c>
      <c r="O6">
        <f t="shared" si="7"/>
        <v>4260336837.8535557</v>
      </c>
      <c r="P6">
        <f t="shared" si="8"/>
        <v>611933525.93120027</v>
      </c>
      <c r="Q6">
        <f t="shared" si="9"/>
        <v>4074436995.7077112</v>
      </c>
      <c r="R6">
        <f t="shared" si="10"/>
        <v>4686370521.6389112</v>
      </c>
      <c r="S6">
        <f t="shared" si="11"/>
        <v>673126878.52432036</v>
      </c>
      <c r="T6">
        <f t="shared" si="12"/>
        <v>4481880695.2784824</v>
      </c>
      <c r="U6">
        <f t="shared" si="13"/>
        <v>5155007573.802803</v>
      </c>
    </row>
    <row r="7" spans="1:21">
      <c r="B7" s="1" t="s">
        <v>5</v>
      </c>
      <c r="C7" t="s">
        <v>3</v>
      </c>
      <c r="D7">
        <v>416679587</v>
      </c>
      <c r="E7">
        <v>2696250271.5596004</v>
      </c>
      <c r="F7">
        <f>SUM($D$7+$E$7)</f>
        <v>3112929858.5596004</v>
      </c>
      <c r="G7">
        <f t="shared" si="0"/>
        <v>458347545.70000005</v>
      </c>
      <c r="H7">
        <f t="shared" si="0"/>
        <v>2965875298.7155604</v>
      </c>
      <c r="I7">
        <f t="shared" si="1"/>
        <v>3424222844.4155607</v>
      </c>
      <c r="J7">
        <f t="shared" si="2"/>
        <v>504182300.2700001</v>
      </c>
      <c r="K7">
        <f t="shared" si="3"/>
        <v>3262462828.5871167</v>
      </c>
      <c r="L7">
        <f t="shared" si="4"/>
        <v>3766645128.8571167</v>
      </c>
      <c r="M7">
        <f t="shared" si="5"/>
        <v>554600530.29700017</v>
      </c>
      <c r="N7">
        <f t="shared" si="6"/>
        <v>3588709111.4458289</v>
      </c>
      <c r="O7">
        <f t="shared" si="7"/>
        <v>4143309641.7428293</v>
      </c>
      <c r="P7">
        <f t="shared" si="8"/>
        <v>610060583.32670021</v>
      </c>
      <c r="Q7">
        <f t="shared" si="9"/>
        <v>3947580022.5904121</v>
      </c>
      <c r="R7">
        <f t="shared" si="10"/>
        <v>4557640605.9171124</v>
      </c>
      <c r="S7">
        <f t="shared" si="11"/>
        <v>671066641.6593703</v>
      </c>
      <c r="T7">
        <f t="shared" si="12"/>
        <v>4342338024.8494539</v>
      </c>
      <c r="U7">
        <f t="shared" si="13"/>
        <v>5013404666.5088243</v>
      </c>
    </row>
    <row r="8" spans="1:21">
      <c r="B8" s="1" t="s">
        <v>1</v>
      </c>
      <c r="C8" t="s">
        <v>0</v>
      </c>
      <c r="D8">
        <v>293442005</v>
      </c>
      <c r="E8">
        <v>1719570149.3</v>
      </c>
      <c r="F8">
        <f>SUM($D$8+$E$8)</f>
        <v>2013012154.3</v>
      </c>
      <c r="G8">
        <f t="shared" si="0"/>
        <v>322786205.5</v>
      </c>
      <c r="H8">
        <f t="shared" si="0"/>
        <v>1891527164.23</v>
      </c>
      <c r="I8">
        <f t="shared" si="1"/>
        <v>2214313369.73</v>
      </c>
      <c r="J8">
        <f t="shared" si="2"/>
        <v>355064826.05000001</v>
      </c>
      <c r="K8">
        <f t="shared" si="3"/>
        <v>2080679880.6530001</v>
      </c>
      <c r="L8">
        <f t="shared" si="4"/>
        <v>2435744706.7030001</v>
      </c>
      <c r="M8">
        <f t="shared" si="5"/>
        <v>390571308.65500003</v>
      </c>
      <c r="N8">
        <f t="shared" si="6"/>
        <v>2288747868.7183003</v>
      </c>
      <c r="O8">
        <f t="shared" si="7"/>
        <v>2679319177.3733006</v>
      </c>
      <c r="P8">
        <f t="shared" si="8"/>
        <v>429628439.52050006</v>
      </c>
      <c r="Q8">
        <f t="shared" si="9"/>
        <v>2517622655.5901308</v>
      </c>
      <c r="R8">
        <f t="shared" si="10"/>
        <v>2947251095.110631</v>
      </c>
      <c r="S8">
        <f t="shared" si="11"/>
        <v>472591283.47255009</v>
      </c>
      <c r="T8">
        <f t="shared" si="12"/>
        <v>2769384921.1491442</v>
      </c>
      <c r="U8">
        <f t="shared" si="13"/>
        <v>3241976204.6216941</v>
      </c>
    </row>
    <row r="9" spans="1:21">
      <c r="B9" s="2" t="s">
        <v>44</v>
      </c>
      <c r="C9" t="s">
        <v>43</v>
      </c>
      <c r="D9">
        <v>297627873</v>
      </c>
      <c r="E9">
        <v>1666180358.6286001</v>
      </c>
      <c r="F9">
        <f>SUM($D$9+$E$9)</f>
        <v>1963808231.6286001</v>
      </c>
      <c r="G9">
        <f t="shared" si="0"/>
        <v>327390660.30000001</v>
      </c>
      <c r="H9">
        <f t="shared" si="0"/>
        <v>1832798394.4914603</v>
      </c>
      <c r="I9">
        <f t="shared" si="1"/>
        <v>2160189054.7914605</v>
      </c>
      <c r="J9">
        <f t="shared" si="2"/>
        <v>360129726.33000004</v>
      </c>
      <c r="K9">
        <f t="shared" si="3"/>
        <v>2016078233.9406066</v>
      </c>
      <c r="L9">
        <f t="shared" si="4"/>
        <v>2376207960.2706065</v>
      </c>
      <c r="M9">
        <f t="shared" si="5"/>
        <v>396142698.96300006</v>
      </c>
      <c r="N9">
        <f t="shared" si="6"/>
        <v>2217686057.3346672</v>
      </c>
      <c r="O9">
        <f t="shared" si="7"/>
        <v>2613828756.2976675</v>
      </c>
      <c r="P9">
        <f t="shared" si="8"/>
        <v>435756968.85930008</v>
      </c>
      <c r="Q9">
        <f t="shared" si="9"/>
        <v>2439454663.0681343</v>
      </c>
      <c r="R9">
        <f t="shared" si="10"/>
        <v>2875211631.9274344</v>
      </c>
      <c r="S9">
        <f t="shared" si="11"/>
        <v>479332665.74523014</v>
      </c>
      <c r="T9">
        <f t="shared" si="12"/>
        <v>2683400129.374948</v>
      </c>
      <c r="U9">
        <f t="shared" si="13"/>
        <v>3162732795.1201782</v>
      </c>
    </row>
    <row r="10" spans="1:21">
      <c r="B10" s="2" t="s">
        <v>48</v>
      </c>
      <c r="C10" s="2" t="s">
        <v>47</v>
      </c>
      <c r="D10">
        <v>245307834</v>
      </c>
      <c r="E10">
        <v>1168940890.5767999</v>
      </c>
      <c r="F10">
        <f>SUM($D$10+$E$10)</f>
        <v>1414248724.5767999</v>
      </c>
      <c r="G10">
        <f t="shared" si="0"/>
        <v>269838617.40000004</v>
      </c>
      <c r="H10">
        <f t="shared" si="0"/>
        <v>1285834979.63448</v>
      </c>
      <c r="I10">
        <f t="shared" si="1"/>
        <v>1555673597.0344801</v>
      </c>
      <c r="J10">
        <f t="shared" si="2"/>
        <v>296822479.14000005</v>
      </c>
      <c r="K10">
        <f t="shared" si="3"/>
        <v>1414418477.597928</v>
      </c>
      <c r="L10">
        <f t="shared" si="4"/>
        <v>1711240956.7379282</v>
      </c>
      <c r="M10">
        <f t="shared" si="5"/>
        <v>326504727.05400008</v>
      </c>
      <c r="N10">
        <f t="shared" si="6"/>
        <v>1555860325.3577211</v>
      </c>
      <c r="O10">
        <f t="shared" si="7"/>
        <v>1882365052.4117212</v>
      </c>
      <c r="P10">
        <f t="shared" si="8"/>
        <v>359155199.75940013</v>
      </c>
      <c r="Q10">
        <f t="shared" si="9"/>
        <v>1711446357.8934934</v>
      </c>
      <c r="R10">
        <f t="shared" si="10"/>
        <v>2070601557.6528935</v>
      </c>
      <c r="S10">
        <f t="shared" si="11"/>
        <v>395070719.73534018</v>
      </c>
      <c r="T10">
        <f t="shared" si="12"/>
        <v>1882590993.682843</v>
      </c>
      <c r="U10">
        <f t="shared" si="13"/>
        <v>2277661713.4181833</v>
      </c>
    </row>
    <row r="11" spans="1:21">
      <c r="B11" t="s">
        <v>141</v>
      </c>
      <c r="C11" t="s">
        <v>142</v>
      </c>
      <c r="D11">
        <v>256781218</v>
      </c>
      <c r="E11">
        <v>998545122.43659997</v>
      </c>
      <c r="F11">
        <f>SUM($D$11+$E$11)</f>
        <v>1255326340.4366</v>
      </c>
      <c r="G11">
        <f t="shared" si="0"/>
        <v>282459339.80000001</v>
      </c>
      <c r="H11">
        <f t="shared" si="0"/>
        <v>1098399634.6802599</v>
      </c>
      <c r="I11">
        <f t="shared" si="1"/>
        <v>1380858974.4802599</v>
      </c>
      <c r="J11">
        <f t="shared" si="2"/>
        <v>310705273.78000003</v>
      </c>
      <c r="K11">
        <f t="shared" si="3"/>
        <v>1208239598.1482861</v>
      </c>
      <c r="L11">
        <f t="shared" si="4"/>
        <v>1518944871.9282861</v>
      </c>
      <c r="M11">
        <f t="shared" si="5"/>
        <v>341775801.15800005</v>
      </c>
      <c r="N11">
        <f t="shared" si="6"/>
        <v>1329063557.9631147</v>
      </c>
      <c r="O11">
        <f t="shared" si="7"/>
        <v>1670839359.1211147</v>
      </c>
      <c r="P11">
        <f t="shared" si="8"/>
        <v>375953381.27380008</v>
      </c>
      <c r="Q11">
        <f t="shared" si="9"/>
        <v>1461969913.7594264</v>
      </c>
      <c r="R11">
        <f t="shared" si="10"/>
        <v>1837923295.0332265</v>
      </c>
      <c r="S11">
        <f t="shared" si="11"/>
        <v>413548719.40118009</v>
      </c>
      <c r="T11">
        <f t="shared" si="12"/>
        <v>1608166905.1353691</v>
      </c>
      <c r="U11">
        <f t="shared" si="13"/>
        <v>2021715624.5365491</v>
      </c>
    </row>
    <row r="12" spans="1:21">
      <c r="B12" s="2" t="s">
        <v>60</v>
      </c>
      <c r="C12" t="s">
        <v>106</v>
      </c>
      <c r="D12">
        <v>290955858</v>
      </c>
      <c r="E12">
        <v>777463148.16179991</v>
      </c>
      <c r="F12">
        <f>SUM($D$12+$E$12)</f>
        <v>1068419006.1617999</v>
      </c>
      <c r="G12">
        <f t="shared" si="0"/>
        <v>320051443.80000001</v>
      </c>
      <c r="H12">
        <f t="shared" si="0"/>
        <v>855209462.97798002</v>
      </c>
      <c r="I12">
        <f t="shared" si="1"/>
        <v>1175260906.7779801</v>
      </c>
      <c r="J12">
        <f t="shared" si="2"/>
        <v>352056588.18000007</v>
      </c>
      <c r="K12">
        <f t="shared" si="3"/>
        <v>940730409.27577806</v>
      </c>
      <c r="L12">
        <f t="shared" si="4"/>
        <v>1292786997.4557781</v>
      </c>
      <c r="M12">
        <f t="shared" si="5"/>
        <v>387262246.99800009</v>
      </c>
      <c r="N12">
        <f t="shared" si="6"/>
        <v>1034803450.2033559</v>
      </c>
      <c r="O12">
        <f t="shared" si="7"/>
        <v>1422065697.2013559</v>
      </c>
      <c r="P12">
        <f t="shared" si="8"/>
        <v>425988471.6978001</v>
      </c>
      <c r="Q12">
        <f t="shared" si="9"/>
        <v>1138283795.2236917</v>
      </c>
      <c r="R12">
        <f t="shared" si="10"/>
        <v>1564272266.9214919</v>
      </c>
      <c r="S12">
        <f t="shared" si="11"/>
        <v>468587318.86758018</v>
      </c>
      <c r="T12">
        <f t="shared" si="12"/>
        <v>1252112174.7460611</v>
      </c>
      <c r="U12">
        <f t="shared" si="13"/>
        <v>1720699493.6136413</v>
      </c>
    </row>
    <row r="13" spans="1:21">
      <c r="B13" s="2" t="s">
        <v>50</v>
      </c>
      <c r="C13" t="s">
        <v>49</v>
      </c>
      <c r="D13">
        <v>153450336</v>
      </c>
      <c r="E13">
        <v>647990078.86079991</v>
      </c>
      <c r="F13">
        <f>SUM($D$13+$E$13)</f>
        <v>801440414.86079991</v>
      </c>
      <c r="G13">
        <f t="shared" si="0"/>
        <v>168795369.60000002</v>
      </c>
      <c r="H13">
        <f t="shared" si="0"/>
        <v>712789086.74687994</v>
      </c>
      <c r="I13">
        <f t="shared" si="1"/>
        <v>881584456.34687996</v>
      </c>
      <c r="J13">
        <f t="shared" si="2"/>
        <v>185674906.56000003</v>
      </c>
      <c r="K13">
        <f t="shared" si="3"/>
        <v>784067995.42156804</v>
      </c>
      <c r="L13">
        <f t="shared" si="4"/>
        <v>969742901.9815681</v>
      </c>
      <c r="M13">
        <f t="shared" si="5"/>
        <v>204242397.21600005</v>
      </c>
      <c r="N13">
        <f t="shared" si="6"/>
        <v>862474794.96372485</v>
      </c>
      <c r="O13">
        <f t="shared" si="7"/>
        <v>1066717192.1797249</v>
      </c>
      <c r="P13">
        <f t="shared" si="8"/>
        <v>224666636.93760008</v>
      </c>
      <c r="Q13">
        <f t="shared" si="9"/>
        <v>948722274.46009743</v>
      </c>
      <c r="R13">
        <f t="shared" si="10"/>
        <v>1173388911.3976974</v>
      </c>
      <c r="S13">
        <f t="shared" si="11"/>
        <v>247133300.63136011</v>
      </c>
      <c r="T13">
        <f t="shared" si="12"/>
        <v>1043594501.9061073</v>
      </c>
      <c r="U13">
        <f t="shared" si="13"/>
        <v>1290727802.5374675</v>
      </c>
    </row>
    <row r="14" spans="1:21">
      <c r="B14" t="s">
        <v>125</v>
      </c>
      <c r="C14" t="s">
        <v>126</v>
      </c>
      <c r="D14">
        <v>172068084</v>
      </c>
      <c r="E14">
        <v>631575902.32200003</v>
      </c>
      <c r="F14">
        <f>SUM($D$14+$E$14)</f>
        <v>803643986.32200003</v>
      </c>
      <c r="G14">
        <f t="shared" si="0"/>
        <v>189274892.40000001</v>
      </c>
      <c r="H14">
        <f t="shared" si="0"/>
        <v>694733492.55420005</v>
      </c>
      <c r="I14">
        <f t="shared" si="1"/>
        <v>884008384.95420003</v>
      </c>
      <c r="J14">
        <f t="shared" si="2"/>
        <v>208202381.64000002</v>
      </c>
      <c r="K14">
        <f t="shared" si="3"/>
        <v>764206841.80962014</v>
      </c>
      <c r="L14">
        <f t="shared" si="4"/>
        <v>972409223.44962013</v>
      </c>
      <c r="M14">
        <f t="shared" si="5"/>
        <v>229022619.80400005</v>
      </c>
      <c r="N14">
        <f t="shared" si="6"/>
        <v>840627525.99058223</v>
      </c>
      <c r="O14">
        <f t="shared" si="7"/>
        <v>1069650145.7945822</v>
      </c>
      <c r="P14">
        <f t="shared" si="8"/>
        <v>251924881.78440008</v>
      </c>
      <c r="Q14">
        <f t="shared" si="9"/>
        <v>924690278.5896405</v>
      </c>
      <c r="R14">
        <f t="shared" si="10"/>
        <v>1176615160.3740406</v>
      </c>
      <c r="S14">
        <f t="shared" si="11"/>
        <v>277117369.96284008</v>
      </c>
      <c r="T14">
        <f t="shared" si="12"/>
        <v>1017159306.4486046</v>
      </c>
      <c r="U14">
        <f t="shared" si="13"/>
        <v>1294276676.4114447</v>
      </c>
    </row>
    <row r="15" spans="1:21">
      <c r="B15" t="s">
        <v>134</v>
      </c>
      <c r="C15" t="s">
        <v>135</v>
      </c>
      <c r="D15">
        <v>178489769</v>
      </c>
      <c r="E15">
        <v>598940268.85640001</v>
      </c>
      <c r="F15">
        <f>SUM($D$15+$E$15)</f>
        <v>777430037.85640001</v>
      </c>
      <c r="G15">
        <f t="shared" si="0"/>
        <v>196338745.90000001</v>
      </c>
      <c r="H15">
        <f t="shared" si="0"/>
        <v>658834295.74204004</v>
      </c>
      <c r="I15">
        <f t="shared" si="1"/>
        <v>855173041.64204001</v>
      </c>
      <c r="J15">
        <f t="shared" si="2"/>
        <v>215972620.49000001</v>
      </c>
      <c r="K15">
        <f t="shared" si="3"/>
        <v>724717725.31624413</v>
      </c>
      <c r="L15">
        <f t="shared" si="4"/>
        <v>940690345.80624413</v>
      </c>
      <c r="M15">
        <f t="shared" si="5"/>
        <v>237569882.53900003</v>
      </c>
      <c r="N15">
        <f t="shared" si="6"/>
        <v>797189497.84786856</v>
      </c>
      <c r="O15">
        <f t="shared" si="7"/>
        <v>1034759380.3868686</v>
      </c>
      <c r="P15">
        <f t="shared" si="8"/>
        <v>261326870.79290006</v>
      </c>
      <c r="Q15">
        <f t="shared" si="9"/>
        <v>876908447.6326555</v>
      </c>
      <c r="R15">
        <f t="shared" si="10"/>
        <v>1138235318.4255555</v>
      </c>
      <c r="S15">
        <f t="shared" si="11"/>
        <v>287459557.87219006</v>
      </c>
      <c r="T15">
        <f t="shared" si="12"/>
        <v>964599292.39592111</v>
      </c>
      <c r="U15">
        <f t="shared" si="13"/>
        <v>1252058850.2681112</v>
      </c>
    </row>
    <row r="16" spans="1:21">
      <c r="B16" s="3" t="s">
        <v>90</v>
      </c>
      <c r="C16" t="s">
        <v>88</v>
      </c>
      <c r="D16">
        <v>137664626</v>
      </c>
      <c r="E16">
        <v>598083967.65699995</v>
      </c>
      <c r="F16">
        <f>SUM($D$16+$E$16)</f>
        <v>735748593.65699995</v>
      </c>
      <c r="G16">
        <f t="shared" si="0"/>
        <v>151431088.60000002</v>
      </c>
      <c r="H16">
        <f t="shared" si="0"/>
        <v>657892364.42270005</v>
      </c>
      <c r="I16">
        <f t="shared" si="1"/>
        <v>809323453.02270007</v>
      </c>
      <c r="J16">
        <f t="shared" si="2"/>
        <v>166574197.46000004</v>
      </c>
      <c r="K16">
        <f t="shared" si="3"/>
        <v>723681600.86497009</v>
      </c>
      <c r="L16">
        <f t="shared" si="4"/>
        <v>890255798.32497013</v>
      </c>
      <c r="M16">
        <f t="shared" si="5"/>
        <v>183231617.20600006</v>
      </c>
      <c r="N16">
        <f t="shared" si="6"/>
        <v>796049760.95146716</v>
      </c>
      <c r="O16">
        <f t="shared" si="7"/>
        <v>979281378.15746725</v>
      </c>
      <c r="P16">
        <f t="shared" si="8"/>
        <v>201554778.92660007</v>
      </c>
      <c r="Q16">
        <f t="shared" si="9"/>
        <v>875654737.04661393</v>
      </c>
      <c r="R16">
        <f t="shared" si="10"/>
        <v>1077209515.9732139</v>
      </c>
      <c r="S16">
        <f t="shared" si="11"/>
        <v>221710256.81926009</v>
      </c>
      <c r="T16">
        <f t="shared" si="12"/>
        <v>963220210.75127542</v>
      </c>
      <c r="U16">
        <f t="shared" si="13"/>
        <v>1184930467.5705354</v>
      </c>
    </row>
    <row r="17" spans="2:21">
      <c r="B17" s="2" t="s">
        <v>95</v>
      </c>
      <c r="C17" t="s">
        <v>94</v>
      </c>
      <c r="D17">
        <v>144648009</v>
      </c>
      <c r="E17">
        <v>596094445.08899999</v>
      </c>
      <c r="F17">
        <f>SUM($D$17+$E$17)</f>
        <v>740742454.08899999</v>
      </c>
      <c r="G17">
        <f t="shared" si="0"/>
        <v>159112809.90000001</v>
      </c>
      <c r="H17">
        <f t="shared" si="0"/>
        <v>655703889.59790003</v>
      </c>
      <c r="I17">
        <f t="shared" si="1"/>
        <v>814816699.49790001</v>
      </c>
      <c r="J17">
        <f t="shared" si="2"/>
        <v>175024090.89000002</v>
      </c>
      <c r="K17">
        <f t="shared" si="3"/>
        <v>721274278.55769014</v>
      </c>
      <c r="L17">
        <f t="shared" si="4"/>
        <v>896298369.44769013</v>
      </c>
      <c r="M17">
        <f t="shared" si="5"/>
        <v>192526499.97900003</v>
      </c>
      <c r="N17">
        <f t="shared" si="6"/>
        <v>793401706.41345918</v>
      </c>
      <c r="O17">
        <f t="shared" si="7"/>
        <v>985928206.39245915</v>
      </c>
      <c r="P17">
        <f t="shared" si="8"/>
        <v>211779149.97690004</v>
      </c>
      <c r="Q17">
        <f t="shared" si="9"/>
        <v>872741877.05480516</v>
      </c>
      <c r="R17">
        <f t="shared" si="10"/>
        <v>1084521027.0317051</v>
      </c>
      <c r="S17">
        <f t="shared" si="11"/>
        <v>232957064.97459006</v>
      </c>
      <c r="T17">
        <f t="shared" si="12"/>
        <v>960016064.76028574</v>
      </c>
      <c r="U17">
        <f t="shared" si="13"/>
        <v>1192973129.7348757</v>
      </c>
    </row>
    <row r="18" spans="2:21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f t="shared" si="0"/>
        <v>165947039.5</v>
      </c>
      <c r="H18">
        <f t="shared" si="0"/>
        <v>582059241.04624999</v>
      </c>
      <c r="I18">
        <f t="shared" si="1"/>
        <v>748006280.54624999</v>
      </c>
      <c r="J18">
        <f t="shared" si="2"/>
        <v>182541743.45000002</v>
      </c>
      <c r="K18">
        <f t="shared" si="3"/>
        <v>640265165.15087509</v>
      </c>
      <c r="L18">
        <f t="shared" si="4"/>
        <v>822806908.60087514</v>
      </c>
      <c r="M18">
        <f t="shared" si="5"/>
        <v>200795917.79500005</v>
      </c>
      <c r="N18">
        <f t="shared" si="6"/>
        <v>704291681.6659627</v>
      </c>
      <c r="O18">
        <f t="shared" si="7"/>
        <v>905087599.46096277</v>
      </c>
      <c r="P18">
        <f t="shared" si="8"/>
        <v>220875509.57450005</v>
      </c>
      <c r="Q18">
        <f t="shared" si="9"/>
        <v>774720849.83255899</v>
      </c>
      <c r="R18">
        <f t="shared" si="10"/>
        <v>995596359.40705907</v>
      </c>
      <c r="S18">
        <f t="shared" si="11"/>
        <v>242963060.53195009</v>
      </c>
      <c r="T18">
        <f t="shared" si="12"/>
        <v>852192934.81581497</v>
      </c>
      <c r="U18">
        <f t="shared" si="13"/>
        <v>1095155995.347765</v>
      </c>
    </row>
    <row r="19" spans="2:21">
      <c r="B19" s="2" t="s">
        <v>40</v>
      </c>
      <c r="C19" t="s">
        <v>39</v>
      </c>
      <c r="D19">
        <v>162941821</v>
      </c>
      <c r="E19">
        <v>503539109.43629998</v>
      </c>
      <c r="F19">
        <f>SUM($D$19+$E$19)</f>
        <v>666480930.43630004</v>
      </c>
      <c r="G19">
        <f t="shared" si="0"/>
        <v>179236003.10000002</v>
      </c>
      <c r="H19">
        <f t="shared" si="0"/>
        <v>553893020.37993002</v>
      </c>
      <c r="I19">
        <f t="shared" si="1"/>
        <v>733129023.47993004</v>
      </c>
      <c r="J19">
        <f t="shared" si="2"/>
        <v>197159603.41000006</v>
      </c>
      <c r="K19">
        <f t="shared" si="3"/>
        <v>609282322.41792309</v>
      </c>
      <c r="L19">
        <f t="shared" si="4"/>
        <v>806441925.82792318</v>
      </c>
      <c r="M19">
        <f t="shared" si="5"/>
        <v>216875563.75100008</v>
      </c>
      <c r="N19">
        <f t="shared" si="6"/>
        <v>670210554.65971541</v>
      </c>
      <c r="O19">
        <f t="shared" si="7"/>
        <v>887086118.41071546</v>
      </c>
      <c r="P19">
        <f t="shared" si="8"/>
        <v>238563120.12610009</v>
      </c>
      <c r="Q19">
        <f t="shared" si="9"/>
        <v>737231610.125687</v>
      </c>
      <c r="R19">
        <f t="shared" si="10"/>
        <v>975794730.25178707</v>
      </c>
      <c r="S19">
        <f t="shared" si="11"/>
        <v>262419432.13871011</v>
      </c>
      <c r="T19">
        <f t="shared" si="12"/>
        <v>810954771.13825572</v>
      </c>
      <c r="U19">
        <f t="shared" si="13"/>
        <v>1073374203.2769659</v>
      </c>
    </row>
    <row r="20" spans="2:21">
      <c r="B20" t="s">
        <v>131</v>
      </c>
      <c r="C20" t="s">
        <v>132</v>
      </c>
      <c r="D20">
        <v>149001966</v>
      </c>
      <c r="E20">
        <v>514622990.17079997</v>
      </c>
      <c r="F20">
        <f>SUM($D$20+$E$20)</f>
        <v>663624956.17079997</v>
      </c>
      <c r="G20">
        <f t="shared" si="0"/>
        <v>163902162.60000002</v>
      </c>
      <c r="H20">
        <f t="shared" si="0"/>
        <v>566085289.18788004</v>
      </c>
      <c r="I20">
        <f t="shared" si="1"/>
        <v>729987451.78788006</v>
      </c>
      <c r="J20">
        <f t="shared" si="2"/>
        <v>180292378.86000004</v>
      </c>
      <c r="K20">
        <f t="shared" si="3"/>
        <v>622693818.10666811</v>
      </c>
      <c r="L20">
        <f t="shared" si="4"/>
        <v>802986196.96666813</v>
      </c>
      <c r="M20">
        <f t="shared" si="5"/>
        <v>198321616.74600005</v>
      </c>
      <c r="N20">
        <f t="shared" si="6"/>
        <v>684963199.91733503</v>
      </c>
      <c r="O20">
        <f t="shared" si="7"/>
        <v>883284816.66333508</v>
      </c>
      <c r="P20">
        <f t="shared" si="8"/>
        <v>218153778.42060009</v>
      </c>
      <c r="Q20">
        <f t="shared" si="9"/>
        <v>753459519.90906858</v>
      </c>
      <c r="R20">
        <f t="shared" si="10"/>
        <v>971613298.32966864</v>
      </c>
      <c r="S20">
        <f t="shared" si="11"/>
        <v>239969156.26266012</v>
      </c>
      <c r="T20">
        <f t="shared" si="12"/>
        <v>828805471.89997554</v>
      </c>
      <c r="U20">
        <f t="shared" si="13"/>
        <v>1068774628.1626357</v>
      </c>
    </row>
    <row r="21" spans="2:21">
      <c r="B21" t="s">
        <v>97</v>
      </c>
      <c r="C21" t="s">
        <v>98</v>
      </c>
      <c r="D21">
        <v>157727650</v>
      </c>
      <c r="E21">
        <v>435202131.88000005</v>
      </c>
      <c r="F21">
        <f>SUM($D$21+$E$21)</f>
        <v>592929781.88000011</v>
      </c>
      <c r="G21">
        <f t="shared" si="0"/>
        <v>173500415</v>
      </c>
      <c r="H21">
        <f t="shared" si="0"/>
        <v>478722345.06800008</v>
      </c>
      <c r="I21">
        <f t="shared" si="1"/>
        <v>652222760.06800008</v>
      </c>
      <c r="J21">
        <f t="shared" si="2"/>
        <v>190850456.50000003</v>
      </c>
      <c r="K21">
        <f t="shared" si="3"/>
        <v>526594579.57480013</v>
      </c>
      <c r="L21">
        <f t="shared" si="4"/>
        <v>717445036.07480013</v>
      </c>
      <c r="M21">
        <f t="shared" si="5"/>
        <v>209935502.15000004</v>
      </c>
      <c r="N21">
        <f t="shared" si="6"/>
        <v>579254037.53228021</v>
      </c>
      <c r="O21">
        <f t="shared" si="7"/>
        <v>789189539.6822803</v>
      </c>
      <c r="P21">
        <f t="shared" si="8"/>
        <v>230929052.36500007</v>
      </c>
      <c r="Q21">
        <f t="shared" si="9"/>
        <v>637179441.28550828</v>
      </c>
      <c r="R21">
        <f t="shared" si="10"/>
        <v>868108493.6505084</v>
      </c>
      <c r="S21">
        <f t="shared" si="11"/>
        <v>254021957.60150009</v>
      </c>
      <c r="T21">
        <f t="shared" si="12"/>
        <v>700897385.41405916</v>
      </c>
      <c r="U21">
        <f t="shared" si="13"/>
        <v>954919343.0155592</v>
      </c>
    </row>
    <row r="22" spans="2:21">
      <c r="B22" s="2" t="s">
        <v>29</v>
      </c>
      <c r="C22" t="s">
        <v>27</v>
      </c>
      <c r="D22">
        <v>157234429</v>
      </c>
      <c r="E22">
        <v>409407006.23019999</v>
      </c>
      <c r="F22">
        <f>SUM($D$22+$E$22)</f>
        <v>566641435.23020005</v>
      </c>
      <c r="G22">
        <f t="shared" si="0"/>
        <v>172957871.90000001</v>
      </c>
      <c r="H22">
        <f t="shared" si="0"/>
        <v>450347706.85322005</v>
      </c>
      <c r="I22">
        <f t="shared" si="1"/>
        <v>623305578.75322008</v>
      </c>
      <c r="J22">
        <f t="shared" si="2"/>
        <v>190253659.09000003</v>
      </c>
      <c r="K22">
        <f t="shared" si="3"/>
        <v>495382477.53854209</v>
      </c>
      <c r="L22">
        <f t="shared" si="4"/>
        <v>685636136.62854218</v>
      </c>
      <c r="M22">
        <f t="shared" si="5"/>
        <v>209279024.99900004</v>
      </c>
      <c r="N22">
        <f t="shared" si="6"/>
        <v>544920725.29239631</v>
      </c>
      <c r="O22">
        <f t="shared" si="7"/>
        <v>754199750.29139638</v>
      </c>
      <c r="P22">
        <f t="shared" si="8"/>
        <v>230206927.49890006</v>
      </c>
      <c r="Q22">
        <f t="shared" si="9"/>
        <v>599412797.82163596</v>
      </c>
      <c r="R22">
        <f t="shared" si="10"/>
        <v>829619725.32053602</v>
      </c>
      <c r="S22">
        <f t="shared" si="11"/>
        <v>253227620.24879009</v>
      </c>
      <c r="T22">
        <f t="shared" si="12"/>
        <v>659354077.60379958</v>
      </c>
      <c r="U22">
        <f t="shared" si="13"/>
        <v>912581697.85258961</v>
      </c>
    </row>
    <row r="23" spans="2:21">
      <c r="B23" t="s">
        <v>154</v>
      </c>
      <c r="C23" t="s">
        <v>155</v>
      </c>
      <c r="D23">
        <v>141202446</v>
      </c>
      <c r="E23">
        <v>410503751.01120001</v>
      </c>
      <c r="F23">
        <f>SUM($D$23+$E$23)</f>
        <v>551706197.01119995</v>
      </c>
      <c r="G23">
        <f t="shared" si="0"/>
        <v>155322690.60000002</v>
      </c>
      <c r="H23">
        <f t="shared" si="0"/>
        <v>451554126.11232007</v>
      </c>
      <c r="I23">
        <f t="shared" si="1"/>
        <v>606876816.71232009</v>
      </c>
      <c r="J23">
        <f t="shared" si="2"/>
        <v>170854959.66000003</v>
      </c>
      <c r="K23">
        <f t="shared" si="3"/>
        <v>496709538.72355211</v>
      </c>
      <c r="L23">
        <f t="shared" si="4"/>
        <v>667564498.38355207</v>
      </c>
      <c r="M23">
        <f t="shared" si="5"/>
        <v>187940455.62600005</v>
      </c>
      <c r="N23">
        <f t="shared" si="6"/>
        <v>546380492.59590733</v>
      </c>
      <c r="O23">
        <f t="shared" si="7"/>
        <v>734320948.22190738</v>
      </c>
      <c r="P23">
        <f t="shared" si="8"/>
        <v>206734501.18860006</v>
      </c>
      <c r="Q23">
        <f t="shared" si="9"/>
        <v>601018541.85549808</v>
      </c>
      <c r="R23">
        <f t="shared" si="10"/>
        <v>807753043.04409814</v>
      </c>
      <c r="S23">
        <f t="shared" si="11"/>
        <v>227407951.3074601</v>
      </c>
      <c r="T23">
        <f t="shared" si="12"/>
        <v>661120396.04104793</v>
      </c>
      <c r="U23">
        <f t="shared" si="13"/>
        <v>888528347.348508</v>
      </c>
    </row>
    <row r="24" spans="2:21">
      <c r="B24" s="2" t="s">
        <v>28</v>
      </c>
      <c r="C24" t="s">
        <v>26</v>
      </c>
      <c r="D24">
        <v>126656891</v>
      </c>
      <c r="E24">
        <v>369812790.34180003</v>
      </c>
      <c r="F24">
        <f>SUM($D$24+$E$24)</f>
        <v>496469681.34180003</v>
      </c>
      <c r="G24">
        <f t="shared" si="0"/>
        <v>139322580.10000002</v>
      </c>
      <c r="H24">
        <f t="shared" si="0"/>
        <v>406794069.37598008</v>
      </c>
      <c r="I24">
        <f t="shared" si="1"/>
        <v>546116649.47598004</v>
      </c>
      <c r="J24">
        <f t="shared" si="2"/>
        <v>153254838.11000004</v>
      </c>
      <c r="K24">
        <f t="shared" si="3"/>
        <v>447473476.31357813</v>
      </c>
      <c r="L24">
        <f t="shared" si="4"/>
        <v>600728314.42357814</v>
      </c>
      <c r="M24">
        <f t="shared" si="5"/>
        <v>168580321.92100006</v>
      </c>
      <c r="N24">
        <f t="shared" si="6"/>
        <v>492220823.94493598</v>
      </c>
      <c r="O24">
        <f t="shared" si="7"/>
        <v>660801145.86593604</v>
      </c>
      <c r="P24">
        <f t="shared" si="8"/>
        <v>185438354.11310008</v>
      </c>
      <c r="Q24">
        <f t="shared" si="9"/>
        <v>541442906.33942962</v>
      </c>
      <c r="R24">
        <f t="shared" si="10"/>
        <v>726881260.45252967</v>
      </c>
      <c r="S24">
        <f t="shared" si="11"/>
        <v>203982189.5244101</v>
      </c>
      <c r="T24">
        <f t="shared" si="12"/>
        <v>595587196.97337258</v>
      </c>
      <c r="U24">
        <f t="shared" si="13"/>
        <v>799569386.49778271</v>
      </c>
    </row>
    <row r="25" spans="2:21">
      <c r="B25" s="2" t="s">
        <v>93</v>
      </c>
      <c r="C25" t="s">
        <v>91</v>
      </c>
      <c r="D25">
        <v>115755846</v>
      </c>
      <c r="E25">
        <v>362686216.68720001</v>
      </c>
      <c r="F25">
        <f>SUM($D$25+$E$25)</f>
        <v>478442062.68720001</v>
      </c>
      <c r="G25">
        <f t="shared" si="0"/>
        <v>127331430.60000001</v>
      </c>
      <c r="H25">
        <f t="shared" si="0"/>
        <v>398954838.35592002</v>
      </c>
      <c r="I25">
        <f t="shared" si="1"/>
        <v>526286268.95592004</v>
      </c>
      <c r="J25">
        <f t="shared" si="2"/>
        <v>140064573.66000003</v>
      </c>
      <c r="K25">
        <f t="shared" si="3"/>
        <v>438850322.19151205</v>
      </c>
      <c r="L25">
        <f t="shared" si="4"/>
        <v>578914895.85151207</v>
      </c>
      <c r="M25">
        <f t="shared" si="5"/>
        <v>154071031.02600005</v>
      </c>
      <c r="N25">
        <f t="shared" si="6"/>
        <v>482735354.41066331</v>
      </c>
      <c r="O25">
        <f t="shared" si="7"/>
        <v>636806385.43666339</v>
      </c>
      <c r="P25">
        <f t="shared" si="8"/>
        <v>169478134.12860006</v>
      </c>
      <c r="Q25">
        <f t="shared" si="9"/>
        <v>531008889.85172969</v>
      </c>
      <c r="R25">
        <f t="shared" si="10"/>
        <v>700487023.98032975</v>
      </c>
      <c r="S25">
        <f t="shared" si="11"/>
        <v>186425947.5414601</v>
      </c>
      <c r="T25">
        <f t="shared" si="12"/>
        <v>584109778.83690274</v>
      </c>
      <c r="U25">
        <f t="shared" si="13"/>
        <v>770535726.37836289</v>
      </c>
    </row>
    <row r="26" spans="2:21">
      <c r="B26" t="s">
        <v>107</v>
      </c>
      <c r="C26" t="s">
        <v>108</v>
      </c>
      <c r="D26">
        <v>119280906</v>
      </c>
      <c r="E26">
        <v>334523300.87699997</v>
      </c>
      <c r="F26">
        <f>SUM($D$26+$E$26)</f>
        <v>453804206.87699997</v>
      </c>
      <c r="G26">
        <f t="shared" si="0"/>
        <v>131208996.60000001</v>
      </c>
      <c r="H26">
        <f t="shared" si="0"/>
        <v>367975630.96469998</v>
      </c>
      <c r="I26">
        <f t="shared" si="1"/>
        <v>499184627.56470001</v>
      </c>
      <c r="J26">
        <f t="shared" si="2"/>
        <v>144329896.26000002</v>
      </c>
      <c r="K26">
        <f t="shared" si="3"/>
        <v>404773194.06117004</v>
      </c>
      <c r="L26">
        <f t="shared" si="4"/>
        <v>549103090.32117009</v>
      </c>
      <c r="M26">
        <f t="shared" si="5"/>
        <v>158762885.88600004</v>
      </c>
      <c r="N26">
        <f t="shared" si="6"/>
        <v>445250513.46728706</v>
      </c>
      <c r="O26">
        <f t="shared" si="7"/>
        <v>604013399.3532871</v>
      </c>
      <c r="P26">
        <f t="shared" si="8"/>
        <v>174639174.47460005</v>
      </c>
      <c r="Q26">
        <f t="shared" si="9"/>
        <v>489775564.81401581</v>
      </c>
      <c r="R26">
        <f t="shared" si="10"/>
        <v>664414739.28861582</v>
      </c>
      <c r="S26">
        <f t="shared" si="11"/>
        <v>192103091.92206007</v>
      </c>
      <c r="T26">
        <f t="shared" si="12"/>
        <v>538753121.29541743</v>
      </c>
      <c r="U26">
        <f t="shared" si="13"/>
        <v>730856213.21747756</v>
      </c>
    </row>
    <row r="27" spans="2:21">
      <c r="B27" t="s">
        <v>144</v>
      </c>
      <c r="C27" t="s">
        <v>150</v>
      </c>
      <c r="D27">
        <v>97737666</v>
      </c>
      <c r="E27">
        <v>321136649.17619997</v>
      </c>
      <c r="F27">
        <f>SUM($D$27+$E$27)</f>
        <v>418874315.17619997</v>
      </c>
      <c r="G27">
        <f t="shared" si="0"/>
        <v>107511432.60000001</v>
      </c>
      <c r="H27">
        <f t="shared" si="0"/>
        <v>353250314.09381998</v>
      </c>
      <c r="I27">
        <f t="shared" si="1"/>
        <v>460761746.69382</v>
      </c>
      <c r="J27">
        <f t="shared" si="2"/>
        <v>118262575.86000001</v>
      </c>
      <c r="K27">
        <f t="shared" si="3"/>
        <v>388575345.50320202</v>
      </c>
      <c r="L27">
        <f t="shared" si="4"/>
        <v>506837921.36320204</v>
      </c>
      <c r="M27">
        <f t="shared" si="5"/>
        <v>130088833.44600002</v>
      </c>
      <c r="N27">
        <f t="shared" si="6"/>
        <v>427432880.05352223</v>
      </c>
      <c r="O27">
        <f t="shared" si="7"/>
        <v>557521713.49952221</v>
      </c>
      <c r="P27">
        <f t="shared" si="8"/>
        <v>143097716.79060003</v>
      </c>
      <c r="Q27">
        <f t="shared" si="9"/>
        <v>470176168.05887449</v>
      </c>
      <c r="R27">
        <f t="shared" si="10"/>
        <v>613273884.84947455</v>
      </c>
      <c r="S27">
        <f t="shared" si="11"/>
        <v>157407488.46966004</v>
      </c>
      <c r="T27">
        <f t="shared" si="12"/>
        <v>517193784.86476201</v>
      </c>
      <c r="U27">
        <f t="shared" si="13"/>
        <v>674601273.33442211</v>
      </c>
    </row>
    <row r="28" spans="2:21">
      <c r="B28" t="s">
        <v>110</v>
      </c>
      <c r="C28" t="s">
        <v>111</v>
      </c>
      <c r="D28">
        <v>94838906</v>
      </c>
      <c r="E28">
        <v>261347573.2642</v>
      </c>
      <c r="F28">
        <f>SUM($D$28+$E$28)</f>
        <v>356186479.26419997</v>
      </c>
      <c r="G28">
        <f t="shared" si="0"/>
        <v>104322796.60000001</v>
      </c>
      <c r="H28">
        <f t="shared" si="0"/>
        <v>287482330.59062004</v>
      </c>
      <c r="I28">
        <f t="shared" si="1"/>
        <v>391805127.19062006</v>
      </c>
      <c r="J28">
        <f t="shared" si="2"/>
        <v>114755076.26000002</v>
      </c>
      <c r="K28">
        <f t="shared" si="3"/>
        <v>316230563.64968204</v>
      </c>
      <c r="L28">
        <f t="shared" si="4"/>
        <v>430985639.90968204</v>
      </c>
      <c r="M28">
        <f t="shared" si="5"/>
        <v>126230583.88600004</v>
      </c>
      <c r="N28">
        <f t="shared" si="6"/>
        <v>347853620.01465029</v>
      </c>
      <c r="O28">
        <f t="shared" si="7"/>
        <v>474084203.90065032</v>
      </c>
      <c r="P28">
        <f t="shared" si="8"/>
        <v>138853642.27460006</v>
      </c>
      <c r="Q28">
        <f t="shared" si="9"/>
        <v>382638982.01611537</v>
      </c>
      <c r="R28">
        <f t="shared" si="10"/>
        <v>521492624.29071546</v>
      </c>
      <c r="S28">
        <f t="shared" si="11"/>
        <v>152739006.50206009</v>
      </c>
      <c r="T28">
        <f t="shared" si="12"/>
        <v>420902880.21772695</v>
      </c>
      <c r="U28">
        <f t="shared" si="13"/>
        <v>573641886.719787</v>
      </c>
    </row>
    <row r="29" spans="2:21">
      <c r="B29" s="2" t="s">
        <v>14</v>
      </c>
      <c r="C29" t="s">
        <v>12</v>
      </c>
      <c r="D29">
        <v>94358075</v>
      </c>
      <c r="E29">
        <v>170986267.70750001</v>
      </c>
      <c r="F29">
        <f>SUM($D$29+$E$29)</f>
        <v>265344342.70750001</v>
      </c>
      <c r="G29">
        <f t="shared" si="0"/>
        <v>103793882.50000001</v>
      </c>
      <c r="H29">
        <f t="shared" si="0"/>
        <v>188084894.47825003</v>
      </c>
      <c r="I29">
        <f t="shared" si="1"/>
        <v>291878776.97825003</v>
      </c>
      <c r="J29">
        <f t="shared" si="2"/>
        <v>114173270.75000003</v>
      </c>
      <c r="K29">
        <f t="shared" si="3"/>
        <v>206893383.92607504</v>
      </c>
      <c r="L29">
        <f t="shared" si="4"/>
        <v>321066654.6760751</v>
      </c>
      <c r="M29">
        <f t="shared" si="5"/>
        <v>125590597.82500005</v>
      </c>
      <c r="N29">
        <f t="shared" si="6"/>
        <v>227582722.31868255</v>
      </c>
      <c r="O29">
        <f t="shared" si="7"/>
        <v>353173320.1436826</v>
      </c>
      <c r="P29">
        <f t="shared" si="8"/>
        <v>138149657.60750008</v>
      </c>
      <c r="Q29">
        <f t="shared" si="9"/>
        <v>250340994.55055082</v>
      </c>
      <c r="R29">
        <f t="shared" si="10"/>
        <v>388490652.15805089</v>
      </c>
      <c r="S29">
        <f t="shared" si="11"/>
        <v>151964623.3682501</v>
      </c>
      <c r="T29">
        <f t="shared" si="12"/>
        <v>275375094.00560594</v>
      </c>
      <c r="U29">
        <f t="shared" si="13"/>
        <v>427339717.37385607</v>
      </c>
    </row>
    <row r="30" spans="2:21">
      <c r="B30" t="s">
        <v>138</v>
      </c>
      <c r="C30" t="s">
        <v>139</v>
      </c>
      <c r="D30">
        <v>82423174</v>
      </c>
      <c r="E30">
        <v>225138899.78099999</v>
      </c>
      <c r="F30">
        <f>SUM($D$30+$E$30)</f>
        <v>307562073.78100002</v>
      </c>
      <c r="G30">
        <f t="shared" si="0"/>
        <v>90665491.400000006</v>
      </c>
      <c r="H30">
        <f t="shared" si="0"/>
        <v>247652789.75910002</v>
      </c>
      <c r="I30">
        <f t="shared" si="1"/>
        <v>338318281.15910006</v>
      </c>
      <c r="J30">
        <f t="shared" si="2"/>
        <v>99732040.540000021</v>
      </c>
      <c r="K30">
        <f t="shared" si="3"/>
        <v>272418068.73501003</v>
      </c>
      <c r="L30">
        <f t="shared" si="4"/>
        <v>372150109.27501005</v>
      </c>
      <c r="M30">
        <f t="shared" si="5"/>
        <v>109705244.59400003</v>
      </c>
      <c r="N30">
        <f t="shared" si="6"/>
        <v>299659875.60851103</v>
      </c>
      <c r="O30">
        <f t="shared" si="7"/>
        <v>409365120.20251107</v>
      </c>
      <c r="P30">
        <f t="shared" si="8"/>
        <v>120675769.05340004</v>
      </c>
      <c r="Q30">
        <f t="shared" si="9"/>
        <v>329625863.16936219</v>
      </c>
      <c r="R30">
        <f t="shared" si="10"/>
        <v>450301632.22276223</v>
      </c>
      <c r="S30">
        <f t="shared" si="11"/>
        <v>132743345.95874006</v>
      </c>
      <c r="T30">
        <f t="shared" si="12"/>
        <v>362588449.48629844</v>
      </c>
      <c r="U30">
        <f t="shared" si="13"/>
        <v>495331795.4450385</v>
      </c>
    </row>
    <row r="31" spans="2:21">
      <c r="B31" t="s">
        <v>113</v>
      </c>
      <c r="C31" t="s">
        <v>114</v>
      </c>
      <c r="D31">
        <v>95657096</v>
      </c>
      <c r="E31">
        <v>213946660.9136</v>
      </c>
      <c r="F31">
        <f>SUM($D$31+$E$31)</f>
        <v>309603756.91359997</v>
      </c>
      <c r="G31">
        <f t="shared" si="0"/>
        <v>105222805.60000001</v>
      </c>
      <c r="H31">
        <f t="shared" si="0"/>
        <v>235341327.00496003</v>
      </c>
      <c r="I31">
        <f t="shared" si="1"/>
        <v>340564132.60496002</v>
      </c>
      <c r="J31">
        <f t="shared" si="2"/>
        <v>115745086.16000003</v>
      </c>
      <c r="K31">
        <f t="shared" si="3"/>
        <v>258875459.70545605</v>
      </c>
      <c r="L31">
        <f t="shared" si="4"/>
        <v>374620545.8654561</v>
      </c>
      <c r="M31">
        <f t="shared" si="5"/>
        <v>127319594.77600004</v>
      </c>
      <c r="N31">
        <f t="shared" si="6"/>
        <v>284763005.67600167</v>
      </c>
      <c r="O31">
        <f t="shared" si="7"/>
        <v>412082600.45200169</v>
      </c>
      <c r="P31">
        <f t="shared" si="8"/>
        <v>140051554.25360006</v>
      </c>
      <c r="Q31">
        <f t="shared" si="9"/>
        <v>313239306.24360186</v>
      </c>
      <c r="R31">
        <f t="shared" si="10"/>
        <v>453290860.49720192</v>
      </c>
      <c r="S31">
        <f t="shared" si="11"/>
        <v>154056709.67896008</v>
      </c>
      <c r="T31">
        <f t="shared" si="12"/>
        <v>344563236.86796206</v>
      </c>
      <c r="U31">
        <f t="shared" si="13"/>
        <v>498619946.54692215</v>
      </c>
    </row>
    <row r="32" spans="2:21">
      <c r="B32" t="s">
        <v>100</v>
      </c>
      <c r="C32" t="s">
        <v>101</v>
      </c>
      <c r="D32">
        <v>101008370</v>
      </c>
      <c r="E32">
        <v>193471431.898</v>
      </c>
      <c r="F32">
        <f>SUM($D$32+$E$32)</f>
        <v>294479801.898</v>
      </c>
      <c r="G32">
        <f t="shared" si="0"/>
        <v>111109207.00000001</v>
      </c>
      <c r="H32">
        <f t="shared" si="0"/>
        <v>212818575.08780003</v>
      </c>
      <c r="I32">
        <f t="shared" si="1"/>
        <v>323927782.08780003</v>
      </c>
      <c r="J32">
        <f t="shared" si="2"/>
        <v>122220127.70000003</v>
      </c>
      <c r="K32">
        <f t="shared" si="3"/>
        <v>234100432.59658006</v>
      </c>
      <c r="L32">
        <f t="shared" si="4"/>
        <v>356320560.29658008</v>
      </c>
      <c r="M32">
        <f t="shared" si="5"/>
        <v>134442140.47000006</v>
      </c>
      <c r="N32">
        <f t="shared" si="6"/>
        <v>257510475.8562381</v>
      </c>
      <c r="O32">
        <f t="shared" si="7"/>
        <v>391952616.32623816</v>
      </c>
      <c r="P32">
        <f t="shared" si="8"/>
        <v>147886354.51700008</v>
      </c>
      <c r="Q32">
        <f t="shared" si="9"/>
        <v>283261523.44186193</v>
      </c>
      <c r="R32">
        <f t="shared" si="10"/>
        <v>431147877.95886201</v>
      </c>
      <c r="S32">
        <f t="shared" si="11"/>
        <v>162674989.96870011</v>
      </c>
      <c r="T32">
        <f t="shared" si="12"/>
        <v>311587675.78604817</v>
      </c>
      <c r="U32">
        <f t="shared" si="13"/>
        <v>474262665.75474828</v>
      </c>
    </row>
    <row r="33" spans="2:21">
      <c r="B33" s="2" t="s">
        <v>23</v>
      </c>
      <c r="C33" t="s">
        <v>18</v>
      </c>
      <c r="D33">
        <v>76496380</v>
      </c>
      <c r="E33">
        <v>154186103.528</v>
      </c>
      <c r="F33">
        <f>SUM($D$33+$E$33)</f>
        <v>230682483.528</v>
      </c>
      <c r="G33">
        <f t="shared" si="0"/>
        <v>84146018</v>
      </c>
      <c r="H33">
        <f t="shared" si="0"/>
        <v>169604713.88080001</v>
      </c>
      <c r="I33">
        <f t="shared" si="1"/>
        <v>253750731.88080001</v>
      </c>
      <c r="J33">
        <f t="shared" si="2"/>
        <v>92560619.800000012</v>
      </c>
      <c r="K33">
        <f t="shared" si="3"/>
        <v>186565185.26888004</v>
      </c>
      <c r="L33">
        <f t="shared" si="4"/>
        <v>279125805.06888008</v>
      </c>
      <c r="M33">
        <f t="shared" si="5"/>
        <v>101816681.78000002</v>
      </c>
      <c r="N33">
        <f t="shared" si="6"/>
        <v>205221703.79576805</v>
      </c>
      <c r="O33">
        <f t="shared" si="7"/>
        <v>307038385.57576805</v>
      </c>
      <c r="P33">
        <f t="shared" si="8"/>
        <v>111998349.95800003</v>
      </c>
      <c r="Q33">
        <f t="shared" si="9"/>
        <v>225743874.17534488</v>
      </c>
      <c r="R33">
        <f t="shared" si="10"/>
        <v>337742224.13334489</v>
      </c>
      <c r="S33">
        <f t="shared" si="11"/>
        <v>123198184.95380005</v>
      </c>
      <c r="T33">
        <f t="shared" si="12"/>
        <v>248318261.59287938</v>
      </c>
      <c r="U33">
        <f t="shared" si="13"/>
        <v>371516446.54667944</v>
      </c>
    </row>
    <row r="34" spans="2:21">
      <c r="B34" t="s">
        <v>116</v>
      </c>
      <c r="C34" t="s">
        <v>117</v>
      </c>
      <c r="D34">
        <v>64480061</v>
      </c>
      <c r="E34">
        <v>129243834.2684</v>
      </c>
      <c r="F34">
        <f>SUM($D$34+$E$34)</f>
        <v>193723895.26840001</v>
      </c>
      <c r="G34">
        <f t="shared" si="0"/>
        <v>70928067.100000009</v>
      </c>
      <c r="H34">
        <f t="shared" si="0"/>
        <v>142168217.69524002</v>
      </c>
      <c r="I34">
        <f t="shared" si="1"/>
        <v>213096284.79524004</v>
      </c>
      <c r="J34">
        <f t="shared" si="2"/>
        <v>78020873.810000017</v>
      </c>
      <c r="K34">
        <f t="shared" si="3"/>
        <v>156385039.46476403</v>
      </c>
      <c r="L34">
        <f t="shared" si="4"/>
        <v>234405913.27476406</v>
      </c>
      <c r="M34">
        <f t="shared" si="5"/>
        <v>85822961.191000029</v>
      </c>
      <c r="N34">
        <f t="shared" si="6"/>
        <v>172023543.41124046</v>
      </c>
      <c r="O34">
        <f t="shared" si="7"/>
        <v>257846504.6022405</v>
      </c>
      <c r="P34">
        <f t="shared" si="8"/>
        <v>94405257.310100034</v>
      </c>
      <c r="Q34">
        <f t="shared" si="9"/>
        <v>189225897.75236452</v>
      </c>
      <c r="R34">
        <f t="shared" si="10"/>
        <v>283631155.06246454</v>
      </c>
      <c r="S34">
        <f t="shared" si="11"/>
        <v>103845783.04111004</v>
      </c>
      <c r="T34">
        <f t="shared" si="12"/>
        <v>208148487.52760097</v>
      </c>
      <c r="U34">
        <f t="shared" si="13"/>
        <v>311994270.56871104</v>
      </c>
    </row>
    <row r="35" spans="2:21">
      <c r="B35" s="2" t="s">
        <v>37</v>
      </c>
      <c r="C35" t="s">
        <v>38</v>
      </c>
      <c r="D35">
        <v>79615680</v>
      </c>
      <c r="E35">
        <v>112958726.78399999</v>
      </c>
      <c r="F35">
        <f>SUM($D$35+$E$35)</f>
        <v>192574406.78399998</v>
      </c>
      <c r="G35">
        <f t="shared" si="0"/>
        <v>87577248</v>
      </c>
      <c r="H35">
        <f t="shared" si="0"/>
        <v>124254599.4624</v>
      </c>
      <c r="I35">
        <f t="shared" si="1"/>
        <v>211831847.46240002</v>
      </c>
      <c r="J35">
        <f t="shared" si="2"/>
        <v>96334972.800000012</v>
      </c>
      <c r="K35">
        <f t="shared" si="3"/>
        <v>136680059.40864003</v>
      </c>
      <c r="L35">
        <f t="shared" si="4"/>
        <v>233015032.20864004</v>
      </c>
      <c r="M35">
        <f t="shared" si="5"/>
        <v>105968470.08000003</v>
      </c>
      <c r="N35">
        <f t="shared" si="6"/>
        <v>150348065.34950405</v>
      </c>
      <c r="O35">
        <f t="shared" si="7"/>
        <v>256316535.4295041</v>
      </c>
      <c r="P35">
        <f t="shared" si="8"/>
        <v>116565317.08800004</v>
      </c>
      <c r="Q35">
        <f t="shared" si="9"/>
        <v>165382871.88445446</v>
      </c>
      <c r="R35">
        <f t="shared" si="10"/>
        <v>281948188.97245449</v>
      </c>
      <c r="S35">
        <f t="shared" si="11"/>
        <v>128221848.79680006</v>
      </c>
      <c r="T35">
        <f t="shared" si="12"/>
        <v>181921159.07289991</v>
      </c>
      <c r="U35">
        <f t="shared" si="13"/>
        <v>310143007.86969995</v>
      </c>
    </row>
    <row r="36" spans="2:21">
      <c r="B36" s="2" t="s">
        <v>64</v>
      </c>
      <c r="C36" t="s">
        <v>63</v>
      </c>
      <c r="D36">
        <v>81891051</v>
      </c>
      <c r="E36">
        <v>100087242.53219999</v>
      </c>
      <c r="F36">
        <f>SUM($D$36+$E$36)</f>
        <v>181978293.53219998</v>
      </c>
      <c r="G36">
        <f t="shared" si="0"/>
        <v>90080156.100000009</v>
      </c>
      <c r="H36">
        <f t="shared" si="0"/>
        <v>110095966.78542</v>
      </c>
      <c r="I36">
        <f t="shared" si="1"/>
        <v>200176122.88542002</v>
      </c>
      <c r="J36">
        <f t="shared" si="2"/>
        <v>99088171.710000023</v>
      </c>
      <c r="K36">
        <f t="shared" si="3"/>
        <v>121105563.463962</v>
      </c>
      <c r="L36">
        <f t="shared" si="4"/>
        <v>220193735.17396203</v>
      </c>
      <c r="M36">
        <f t="shared" si="5"/>
        <v>108996988.88100003</v>
      </c>
      <c r="N36">
        <f t="shared" si="6"/>
        <v>133216119.81035821</v>
      </c>
      <c r="O36">
        <f t="shared" si="7"/>
        <v>242213108.69135824</v>
      </c>
      <c r="P36">
        <f t="shared" si="8"/>
        <v>119896687.76910004</v>
      </c>
      <c r="Q36">
        <f t="shared" si="9"/>
        <v>146537731.79139405</v>
      </c>
      <c r="R36">
        <f t="shared" si="10"/>
        <v>266434419.5604941</v>
      </c>
      <c r="S36">
        <f t="shared" si="11"/>
        <v>131886356.54601006</v>
      </c>
      <c r="T36">
        <f t="shared" si="12"/>
        <v>161191504.97053346</v>
      </c>
      <c r="U36">
        <f t="shared" si="13"/>
        <v>293077861.51654351</v>
      </c>
    </row>
    <row r="37" spans="2:21">
      <c r="B37" t="s">
        <v>147</v>
      </c>
      <c r="C37" t="s">
        <v>148</v>
      </c>
      <c r="D37">
        <v>68506270</v>
      </c>
      <c r="E37">
        <v>86667282.177000001</v>
      </c>
      <c r="F37">
        <f>SUM($D$37+$E$37)</f>
        <v>155173552.17699999</v>
      </c>
      <c r="G37">
        <f t="shared" si="0"/>
        <v>75356897</v>
      </c>
      <c r="H37">
        <f t="shared" si="0"/>
        <v>95334010.394700006</v>
      </c>
      <c r="I37">
        <f t="shared" si="1"/>
        <v>170690907.39469999</v>
      </c>
      <c r="J37">
        <f t="shared" si="2"/>
        <v>82892586.700000003</v>
      </c>
      <c r="K37">
        <f t="shared" si="3"/>
        <v>104867411.43417001</v>
      </c>
      <c r="L37">
        <f t="shared" si="4"/>
        <v>187759998.13417</v>
      </c>
      <c r="M37">
        <f t="shared" si="5"/>
        <v>91181845.370000005</v>
      </c>
      <c r="N37">
        <f t="shared" si="6"/>
        <v>115354152.57758702</v>
      </c>
      <c r="O37">
        <f t="shared" si="7"/>
        <v>206535997.94758701</v>
      </c>
      <c r="P37">
        <f t="shared" si="8"/>
        <v>100300029.90700002</v>
      </c>
      <c r="Q37">
        <f t="shared" si="9"/>
        <v>126889567.83534573</v>
      </c>
      <c r="R37">
        <f t="shared" si="10"/>
        <v>227189597.74234575</v>
      </c>
      <c r="S37">
        <f t="shared" si="11"/>
        <v>110330032.89770003</v>
      </c>
      <c r="T37">
        <f t="shared" si="12"/>
        <v>139578524.6188803</v>
      </c>
      <c r="U37">
        <f t="shared" si="13"/>
        <v>249908557.51658034</v>
      </c>
    </row>
    <row r="38" spans="2:21">
      <c r="B38" s="2" t="s">
        <v>15</v>
      </c>
      <c r="C38" t="s">
        <v>11</v>
      </c>
      <c r="D38">
        <v>65710930</v>
      </c>
      <c r="E38">
        <v>88611189.104999989</v>
      </c>
      <c r="F38">
        <f>SUM($D$38+$E$38)</f>
        <v>154322119.10499999</v>
      </c>
      <c r="G38">
        <f t="shared" si="0"/>
        <v>72282023</v>
      </c>
      <c r="H38">
        <f t="shared" si="0"/>
        <v>97472308.015499994</v>
      </c>
      <c r="I38">
        <f t="shared" si="1"/>
        <v>169754331.01550001</v>
      </c>
      <c r="J38">
        <f t="shared" si="2"/>
        <v>79510225.300000012</v>
      </c>
      <c r="K38">
        <f t="shared" si="3"/>
        <v>107219538.81705</v>
      </c>
      <c r="L38">
        <f t="shared" si="4"/>
        <v>186729764.11704999</v>
      </c>
      <c r="M38">
        <f t="shared" si="5"/>
        <v>87461247.830000013</v>
      </c>
      <c r="N38">
        <f t="shared" si="6"/>
        <v>117941492.69875501</v>
      </c>
      <c r="O38">
        <f t="shared" si="7"/>
        <v>205402740.52875501</v>
      </c>
      <c r="P38">
        <f t="shared" si="8"/>
        <v>96207372.61300002</v>
      </c>
      <c r="Q38">
        <f t="shared" si="9"/>
        <v>129735641.96863052</v>
      </c>
      <c r="R38">
        <f t="shared" si="10"/>
        <v>225943014.58163053</v>
      </c>
      <c r="S38">
        <f t="shared" si="11"/>
        <v>105828109.87430003</v>
      </c>
      <c r="T38">
        <f t="shared" si="12"/>
        <v>142709206.16549358</v>
      </c>
      <c r="U38">
        <f t="shared" si="13"/>
        <v>248537316.03979361</v>
      </c>
    </row>
    <row r="39" spans="2:21">
      <c r="B39" t="s">
        <v>58</v>
      </c>
      <c r="C39" s="2" t="s">
        <v>57</v>
      </c>
      <c r="D39">
        <v>57688305</v>
      </c>
      <c r="E39">
        <v>79015671.358500004</v>
      </c>
      <c r="F39">
        <f>SUM($D$39+$E$39)</f>
        <v>136703976.3585</v>
      </c>
      <c r="G39">
        <f t="shared" si="0"/>
        <v>63457135.500000007</v>
      </c>
      <c r="H39">
        <f t="shared" si="0"/>
        <v>86917238.494350016</v>
      </c>
      <c r="I39">
        <f t="shared" si="1"/>
        <v>150374373.99435002</v>
      </c>
      <c r="J39">
        <f t="shared" si="2"/>
        <v>69802849.050000012</v>
      </c>
      <c r="K39">
        <f t="shared" si="3"/>
        <v>95608962.343785033</v>
      </c>
      <c r="L39">
        <f t="shared" si="4"/>
        <v>165411811.39378506</v>
      </c>
      <c r="M39">
        <f t="shared" si="5"/>
        <v>76783133.955000013</v>
      </c>
      <c r="N39">
        <f t="shared" si="6"/>
        <v>105169858.57816355</v>
      </c>
      <c r="O39">
        <f t="shared" si="7"/>
        <v>181952992.53316355</v>
      </c>
      <c r="P39">
        <f t="shared" si="8"/>
        <v>84461447.350500017</v>
      </c>
      <c r="Q39">
        <f t="shared" si="9"/>
        <v>115686844.43597992</v>
      </c>
      <c r="R39">
        <f t="shared" si="10"/>
        <v>200148291.78647995</v>
      </c>
      <c r="S39">
        <f t="shared" si="11"/>
        <v>92907592.085550025</v>
      </c>
      <c r="T39">
        <f t="shared" si="12"/>
        <v>127255528.87957792</v>
      </c>
      <c r="U39">
        <f t="shared" si="13"/>
        <v>220163120.96512794</v>
      </c>
    </row>
    <row r="40" spans="2:21">
      <c r="B40" s="2" t="s">
        <v>41</v>
      </c>
      <c r="C40" s="2" t="s">
        <v>42</v>
      </c>
      <c r="D40">
        <v>56820886</v>
      </c>
      <c r="E40">
        <v>67633900.605800003</v>
      </c>
      <c r="F40">
        <f>SUM($D$40+$E$40)</f>
        <v>124454786.6058</v>
      </c>
      <c r="G40">
        <f t="shared" si="0"/>
        <v>62502974.600000001</v>
      </c>
      <c r="H40">
        <f t="shared" si="0"/>
        <v>74397290.666380003</v>
      </c>
      <c r="I40">
        <f t="shared" si="1"/>
        <v>136900265.26638001</v>
      </c>
      <c r="J40">
        <f t="shared" si="2"/>
        <v>68753272.060000002</v>
      </c>
      <c r="K40">
        <f t="shared" si="3"/>
        <v>81837019.733018011</v>
      </c>
      <c r="L40">
        <f t="shared" si="4"/>
        <v>150590291.79301801</v>
      </c>
      <c r="M40">
        <f t="shared" si="5"/>
        <v>75628599.266000003</v>
      </c>
      <c r="N40">
        <f t="shared" si="6"/>
        <v>90020721.706319824</v>
      </c>
      <c r="O40">
        <f t="shared" si="7"/>
        <v>165649320.97231984</v>
      </c>
      <c r="P40">
        <f t="shared" si="8"/>
        <v>83191459.192600012</v>
      </c>
      <c r="Q40">
        <f t="shared" si="9"/>
        <v>99022793.876951814</v>
      </c>
      <c r="R40">
        <f t="shared" si="10"/>
        <v>182214253.06955183</v>
      </c>
      <c r="S40">
        <f t="shared" si="11"/>
        <v>91510605.111860022</v>
      </c>
      <c r="T40">
        <f t="shared" si="12"/>
        <v>108925073.26464701</v>
      </c>
      <c r="U40">
        <f t="shared" si="13"/>
        <v>200435678.37650704</v>
      </c>
    </row>
    <row r="41" spans="2:21">
      <c r="B41" s="2" t="s">
        <v>52</v>
      </c>
      <c r="C41" s="2" t="s">
        <v>51</v>
      </c>
      <c r="D41">
        <v>47698676</v>
      </c>
      <c r="E41">
        <v>72201485.861200005</v>
      </c>
      <c r="F41">
        <f>SUM($D$41+$E$41)</f>
        <v>119900161.8612</v>
      </c>
      <c r="G41">
        <f t="shared" si="0"/>
        <v>52468543.600000001</v>
      </c>
      <c r="H41">
        <f t="shared" si="0"/>
        <v>79421634.447320014</v>
      </c>
      <c r="I41">
        <f t="shared" si="1"/>
        <v>131890178.04732001</v>
      </c>
      <c r="J41">
        <f t="shared" si="2"/>
        <v>57715397.960000008</v>
      </c>
      <c r="K41">
        <f t="shared" si="3"/>
        <v>87363797.892052025</v>
      </c>
      <c r="L41">
        <f t="shared" si="4"/>
        <v>145079195.85205203</v>
      </c>
      <c r="M41">
        <f t="shared" si="5"/>
        <v>63486937.756000012</v>
      </c>
      <c r="N41">
        <f t="shared" si="6"/>
        <v>96100177.681257233</v>
      </c>
      <c r="O41">
        <f t="shared" si="7"/>
        <v>159587115.43725723</v>
      </c>
      <c r="P41">
        <f t="shared" si="8"/>
        <v>69835631.531600013</v>
      </c>
      <c r="Q41">
        <f t="shared" si="9"/>
        <v>105710195.44938296</v>
      </c>
      <c r="R41">
        <f t="shared" si="10"/>
        <v>175545826.98098296</v>
      </c>
      <c r="S41">
        <f t="shared" si="11"/>
        <v>76819194.684760019</v>
      </c>
      <c r="T41">
        <f t="shared" si="12"/>
        <v>116281214.99432127</v>
      </c>
      <c r="U41">
        <f t="shared" si="13"/>
        <v>193100409.67908129</v>
      </c>
    </row>
    <row r="42" spans="2:21">
      <c r="B42" s="2" t="s">
        <v>16</v>
      </c>
      <c r="C42" t="s">
        <v>13</v>
      </c>
      <c r="D42">
        <v>45791945</v>
      </c>
      <c r="E42">
        <v>59868388.893000007</v>
      </c>
      <c r="F42">
        <f>SUM($D$42+$E$42)</f>
        <v>105660333.89300001</v>
      </c>
      <c r="G42">
        <f t="shared" si="0"/>
        <v>50371139.500000007</v>
      </c>
      <c r="H42">
        <f t="shared" si="0"/>
        <v>65855227.78230001</v>
      </c>
      <c r="I42">
        <f t="shared" si="1"/>
        <v>116226367.28230003</v>
      </c>
      <c r="J42">
        <f t="shared" si="2"/>
        <v>55408253.45000001</v>
      </c>
      <c r="K42">
        <f t="shared" si="3"/>
        <v>72440750.560530022</v>
      </c>
      <c r="L42">
        <f t="shared" si="4"/>
        <v>127849004.01053002</v>
      </c>
      <c r="M42">
        <f t="shared" si="5"/>
        <v>60949078.795000017</v>
      </c>
      <c r="N42">
        <f t="shared" si="6"/>
        <v>79684825.616583034</v>
      </c>
      <c r="O42">
        <f t="shared" si="7"/>
        <v>140633904.41158307</v>
      </c>
      <c r="P42">
        <f t="shared" si="8"/>
        <v>67043986.674500026</v>
      </c>
      <c r="Q42">
        <f t="shared" si="9"/>
        <v>87653308.178241342</v>
      </c>
      <c r="R42">
        <f t="shared" si="10"/>
        <v>154697294.85274136</v>
      </c>
      <c r="S42">
        <f t="shared" si="11"/>
        <v>73748385.341950029</v>
      </c>
      <c r="T42">
        <f t="shared" si="12"/>
        <v>96418638.996065482</v>
      </c>
      <c r="U42">
        <f t="shared" si="13"/>
        <v>170167024.3380155</v>
      </c>
    </row>
    <row r="43" spans="2:21">
      <c r="B43" t="s">
        <v>119</v>
      </c>
      <c r="C43" t="s">
        <v>120</v>
      </c>
      <c r="D43">
        <v>49565241</v>
      </c>
      <c r="E43">
        <v>49208371.264799997</v>
      </c>
      <c r="F43">
        <f>SUM($D$43+$E$43)</f>
        <v>98773612.264799997</v>
      </c>
      <c r="G43">
        <f t="shared" si="0"/>
        <v>54521765.100000001</v>
      </c>
      <c r="H43">
        <f t="shared" si="0"/>
        <v>54129208.391280003</v>
      </c>
      <c r="I43">
        <f t="shared" si="1"/>
        <v>108650973.49128</v>
      </c>
      <c r="J43">
        <f t="shared" si="2"/>
        <v>59973941.610000007</v>
      </c>
      <c r="K43">
        <f t="shared" si="3"/>
        <v>59542129.230408005</v>
      </c>
      <c r="L43">
        <f t="shared" si="4"/>
        <v>119516070.84040801</v>
      </c>
      <c r="M43">
        <f t="shared" si="5"/>
        <v>65971335.771000013</v>
      </c>
      <c r="N43">
        <f t="shared" si="6"/>
        <v>65496342.153448813</v>
      </c>
      <c r="O43">
        <f t="shared" si="7"/>
        <v>131467677.92444882</v>
      </c>
      <c r="P43">
        <f t="shared" si="8"/>
        <v>72568469.348100021</v>
      </c>
      <c r="Q43">
        <f t="shared" si="9"/>
        <v>72045976.368793696</v>
      </c>
      <c r="R43">
        <f t="shared" si="10"/>
        <v>144614445.71689373</v>
      </c>
      <c r="S43">
        <f t="shared" si="11"/>
        <v>79825316.282910034</v>
      </c>
      <c r="T43">
        <f t="shared" si="12"/>
        <v>79250574.005673066</v>
      </c>
      <c r="U43">
        <f t="shared" si="13"/>
        <v>159075890.2885831</v>
      </c>
    </row>
    <row r="44" spans="2:21">
      <c r="B44" s="2" t="s">
        <v>21</v>
      </c>
      <c r="C44" t="s">
        <v>19</v>
      </c>
      <c r="D44">
        <v>43003466</v>
      </c>
      <c r="E44">
        <v>43227084.023199998</v>
      </c>
      <c r="F44">
        <f>SUM($D$44+$E$44)</f>
        <v>86230550.023200005</v>
      </c>
      <c r="G44">
        <f t="shared" si="0"/>
        <v>47303812.600000001</v>
      </c>
      <c r="H44">
        <f t="shared" si="0"/>
        <v>47549792.425520003</v>
      </c>
      <c r="I44">
        <f t="shared" si="1"/>
        <v>94853605.025519997</v>
      </c>
      <c r="J44">
        <f t="shared" si="2"/>
        <v>52034193.860000007</v>
      </c>
      <c r="K44">
        <f t="shared" si="3"/>
        <v>52304771.668072008</v>
      </c>
      <c r="L44">
        <f t="shared" si="4"/>
        <v>104338965.52807201</v>
      </c>
      <c r="M44">
        <f t="shared" si="5"/>
        <v>57237613.246000014</v>
      </c>
      <c r="N44">
        <f t="shared" si="6"/>
        <v>57535248.834879212</v>
      </c>
      <c r="O44">
        <f t="shared" si="7"/>
        <v>114772862.08087923</v>
      </c>
      <c r="P44">
        <f t="shared" si="8"/>
        <v>62961374.570600018</v>
      </c>
      <c r="Q44">
        <f t="shared" si="9"/>
        <v>63288773.718367137</v>
      </c>
      <c r="R44">
        <f t="shared" si="10"/>
        <v>126250148.28896716</v>
      </c>
      <c r="S44">
        <f t="shared" si="11"/>
        <v>69257512.027660027</v>
      </c>
      <c r="T44">
        <f t="shared" si="12"/>
        <v>69617651.090203851</v>
      </c>
      <c r="U44">
        <f t="shared" si="13"/>
        <v>138875163.11786389</v>
      </c>
    </row>
    <row r="45" spans="2:21">
      <c r="B45" s="2" t="s">
        <v>30</v>
      </c>
      <c r="C45" t="s">
        <v>25</v>
      </c>
      <c r="D45">
        <v>30827781</v>
      </c>
      <c r="E45">
        <v>32424660.055800002</v>
      </c>
      <c r="F45">
        <f>SUM($D$45+$E$45)</f>
        <v>63252441.055800006</v>
      </c>
      <c r="G45">
        <f t="shared" si="0"/>
        <v>33910559.100000001</v>
      </c>
      <c r="H45">
        <f t="shared" si="0"/>
        <v>35667126.061380006</v>
      </c>
      <c r="I45">
        <f t="shared" si="1"/>
        <v>69577685.161380008</v>
      </c>
      <c r="J45">
        <f t="shared" si="2"/>
        <v>37301615.010000005</v>
      </c>
      <c r="K45">
        <f t="shared" si="3"/>
        <v>39233838.667518012</v>
      </c>
      <c r="L45">
        <f t="shared" si="4"/>
        <v>76535453.67751801</v>
      </c>
      <c r="M45">
        <f t="shared" si="5"/>
        <v>41031776.511000007</v>
      </c>
      <c r="N45">
        <f t="shared" si="6"/>
        <v>43157222.534269817</v>
      </c>
      <c r="O45">
        <f t="shared" si="7"/>
        <v>84188999.045269817</v>
      </c>
      <c r="P45">
        <f t="shared" si="8"/>
        <v>45134954.16210001</v>
      </c>
      <c r="Q45">
        <f t="shared" si="9"/>
        <v>47472944.787696801</v>
      </c>
      <c r="R45">
        <f t="shared" si="10"/>
        <v>92607898.949796811</v>
      </c>
      <c r="S45">
        <f t="shared" si="11"/>
        <v>49648449.578310013</v>
      </c>
      <c r="T45">
        <f t="shared" si="12"/>
        <v>52220239.266466483</v>
      </c>
      <c r="U45">
        <f t="shared" si="13"/>
        <v>101868688.8447765</v>
      </c>
    </row>
    <row r="46" spans="2:21">
      <c r="B46" s="2" t="s">
        <v>22</v>
      </c>
      <c r="C46" t="s">
        <v>17</v>
      </c>
      <c r="D46">
        <v>28150138</v>
      </c>
      <c r="E46">
        <v>28870781.5328</v>
      </c>
      <c r="F46">
        <f>SUM($D$46+$E$46)</f>
        <v>57020919.532800004</v>
      </c>
      <c r="G46">
        <f t="shared" si="0"/>
        <v>30965151.800000001</v>
      </c>
      <c r="H46">
        <f t="shared" si="0"/>
        <v>31757859.686080001</v>
      </c>
      <c r="I46">
        <f t="shared" si="1"/>
        <v>62723011.486080006</v>
      </c>
      <c r="J46">
        <f t="shared" si="2"/>
        <v>34061666.980000004</v>
      </c>
      <c r="K46">
        <f t="shared" si="3"/>
        <v>34933645.654688001</v>
      </c>
      <c r="L46">
        <f t="shared" si="4"/>
        <v>68995312.634688005</v>
      </c>
      <c r="M46">
        <f t="shared" si="5"/>
        <v>37467833.678000011</v>
      </c>
      <c r="N46">
        <f t="shared" si="6"/>
        <v>38427010.220156804</v>
      </c>
      <c r="O46">
        <f t="shared" si="7"/>
        <v>75894843.898156822</v>
      </c>
      <c r="P46">
        <f t="shared" si="8"/>
        <v>41214617.045800015</v>
      </c>
      <c r="Q46">
        <f t="shared" si="9"/>
        <v>42269711.242172487</v>
      </c>
      <c r="R46">
        <f t="shared" si="10"/>
        <v>83484328.28797251</v>
      </c>
      <c r="S46">
        <f t="shared" si="11"/>
        <v>45336078.750380017</v>
      </c>
      <c r="T46">
        <f t="shared" si="12"/>
        <v>46496682.366389737</v>
      </c>
      <c r="U46">
        <f t="shared" si="13"/>
        <v>91832761.116769761</v>
      </c>
    </row>
    <row r="47" spans="2:21">
      <c r="B47" s="2" t="s">
        <v>54</v>
      </c>
      <c r="C47" t="s">
        <v>53</v>
      </c>
      <c r="D47">
        <v>28123061</v>
      </c>
      <c r="E47">
        <v>29287355.725400001</v>
      </c>
      <c r="F47">
        <f>SUM($D$47+$E$47)</f>
        <v>57410416.725400001</v>
      </c>
      <c r="G47">
        <f t="shared" si="0"/>
        <v>30935367.100000001</v>
      </c>
      <c r="H47">
        <f t="shared" si="0"/>
        <v>32216091.297940005</v>
      </c>
      <c r="I47">
        <f t="shared" si="1"/>
        <v>63151458.39794001</v>
      </c>
      <c r="J47">
        <f t="shared" si="2"/>
        <v>34028903.810000002</v>
      </c>
      <c r="K47">
        <f t="shared" si="3"/>
        <v>35437700.42773401</v>
      </c>
      <c r="L47">
        <f t="shared" si="4"/>
        <v>69466604.23773402</v>
      </c>
      <c r="M47">
        <f t="shared" si="5"/>
        <v>37431794.191000007</v>
      </c>
      <c r="N47">
        <f t="shared" si="6"/>
        <v>38981470.470507413</v>
      </c>
      <c r="O47">
        <f t="shared" si="7"/>
        <v>76413264.661507428</v>
      </c>
      <c r="P47">
        <f t="shared" si="8"/>
        <v>41174973.610100009</v>
      </c>
      <c r="Q47">
        <f t="shared" si="9"/>
        <v>42879617.517558157</v>
      </c>
      <c r="R47">
        <f t="shared" si="10"/>
        <v>84054591.127658159</v>
      </c>
      <c r="S47">
        <f t="shared" si="11"/>
        <v>45292470.971110016</v>
      </c>
      <c r="T47">
        <f t="shared" si="12"/>
        <v>47167579.269313976</v>
      </c>
      <c r="U47">
        <f t="shared" si="13"/>
        <v>92460050.240423992</v>
      </c>
    </row>
    <row r="48" spans="2:21">
      <c r="B48" s="2" t="s">
        <v>36</v>
      </c>
      <c r="C48" t="s">
        <v>35</v>
      </c>
      <c r="D48">
        <v>23734190</v>
      </c>
      <c r="E48">
        <v>14648742.068</v>
      </c>
      <c r="F48">
        <f>SUM($D$48+$E$48)</f>
        <v>38382932.068000004</v>
      </c>
      <c r="G48">
        <f t="shared" si="0"/>
        <v>26107609.000000004</v>
      </c>
      <c r="H48">
        <f t="shared" si="0"/>
        <v>16113616.274800001</v>
      </c>
      <c r="I48">
        <f t="shared" si="1"/>
        <v>42221225.274800003</v>
      </c>
      <c r="J48">
        <f t="shared" si="2"/>
        <v>28718369.900000006</v>
      </c>
      <c r="K48">
        <f t="shared" si="3"/>
        <v>17724977.902280003</v>
      </c>
      <c r="L48">
        <f t="shared" si="4"/>
        <v>46443347.802280009</v>
      </c>
      <c r="M48">
        <f t="shared" si="5"/>
        <v>31590206.890000008</v>
      </c>
      <c r="N48">
        <f t="shared" si="6"/>
        <v>19497475.692508005</v>
      </c>
      <c r="O48">
        <f t="shared" si="7"/>
        <v>51087682.582508013</v>
      </c>
      <c r="P48">
        <f t="shared" si="8"/>
        <v>34749227.579000011</v>
      </c>
      <c r="Q48">
        <f t="shared" si="9"/>
        <v>21447223.261758808</v>
      </c>
      <c r="R48">
        <f t="shared" si="10"/>
        <v>56196450.840758815</v>
      </c>
      <c r="S48">
        <f t="shared" si="11"/>
        <v>38224150.336900018</v>
      </c>
      <c r="T48">
        <f t="shared" si="12"/>
        <v>23591945.587934691</v>
      </c>
      <c r="U48">
        <f t="shared" si="13"/>
        <v>61816095.924834713</v>
      </c>
    </row>
    <row r="49" spans="2:21">
      <c r="B49" s="2" t="s">
        <v>34</v>
      </c>
      <c r="C49" t="s">
        <v>33</v>
      </c>
      <c r="D49">
        <v>19632252</v>
      </c>
      <c r="E49">
        <v>8473279.9631999992</v>
      </c>
      <c r="F49">
        <f>SUM($D$49+$E$49)</f>
        <v>28105531.963199999</v>
      </c>
      <c r="G49">
        <f t="shared" si="0"/>
        <v>21595477.200000003</v>
      </c>
      <c r="H49">
        <f t="shared" si="0"/>
        <v>9320607.9595199991</v>
      </c>
      <c r="I49">
        <f t="shared" si="1"/>
        <v>30916085.15952</v>
      </c>
      <c r="J49">
        <f t="shared" si="2"/>
        <v>23755024.920000006</v>
      </c>
      <c r="K49">
        <f t="shared" si="3"/>
        <v>10252668.755472001</v>
      </c>
      <c r="L49">
        <f t="shared" si="4"/>
        <v>34007693.675472006</v>
      </c>
      <c r="M49">
        <f t="shared" si="5"/>
        <v>26130527.412000008</v>
      </c>
      <c r="N49">
        <f t="shared" si="6"/>
        <v>11277935.631019201</v>
      </c>
      <c r="O49">
        <f t="shared" si="7"/>
        <v>37408463.043019205</v>
      </c>
      <c r="P49">
        <f t="shared" si="8"/>
        <v>28743580.153200012</v>
      </c>
      <c r="Q49">
        <f t="shared" si="9"/>
        <v>12405729.194121122</v>
      </c>
      <c r="R49">
        <f t="shared" si="10"/>
        <v>41149309.347321138</v>
      </c>
      <c r="S49">
        <f t="shared" si="11"/>
        <v>31617938.168520015</v>
      </c>
      <c r="T49">
        <f t="shared" si="12"/>
        <v>13646302.113533236</v>
      </c>
      <c r="U49">
        <f t="shared" si="13"/>
        <v>45264240.282053247</v>
      </c>
    </row>
    <row r="50" spans="2:21">
      <c r="B50" s="3" t="s">
        <v>56</v>
      </c>
      <c r="C50" t="s">
        <v>55</v>
      </c>
      <c r="D50">
        <v>18010345</v>
      </c>
      <c r="E50">
        <v>9482446.6425000001</v>
      </c>
      <c r="F50">
        <f>SUM($D$50+$E$50)</f>
        <v>27492791.642499998</v>
      </c>
      <c r="G50">
        <f t="shared" si="0"/>
        <v>19811379.5</v>
      </c>
      <c r="H50">
        <f t="shared" si="0"/>
        <v>10430691.306750001</v>
      </c>
      <c r="I50">
        <f t="shared" si="1"/>
        <v>30242070.80675</v>
      </c>
      <c r="J50">
        <f t="shared" si="2"/>
        <v>21792517.450000003</v>
      </c>
      <c r="K50">
        <f t="shared" si="3"/>
        <v>11473760.437425002</v>
      </c>
      <c r="L50">
        <f t="shared" si="4"/>
        <v>33266277.887425005</v>
      </c>
      <c r="M50">
        <f t="shared" si="5"/>
        <v>23971769.195000004</v>
      </c>
      <c r="N50">
        <f t="shared" si="6"/>
        <v>12621136.481167505</v>
      </c>
      <c r="O50">
        <f t="shared" si="7"/>
        <v>36592905.67616751</v>
      </c>
      <c r="P50">
        <f t="shared" si="8"/>
        <v>26368946.114500005</v>
      </c>
      <c r="Q50">
        <f t="shared" si="9"/>
        <v>13883250.129284257</v>
      </c>
      <c r="R50">
        <f t="shared" si="10"/>
        <v>40252196.243784264</v>
      </c>
      <c r="S50">
        <f t="shared" si="11"/>
        <v>29005840.725950006</v>
      </c>
      <c r="T50">
        <f t="shared" si="12"/>
        <v>15271575.142212683</v>
      </c>
      <c r="U50">
        <f t="shared" si="13"/>
        <v>44277415.868162692</v>
      </c>
    </row>
    <row r="51" spans="2:21">
      <c r="B51" t="s">
        <v>128</v>
      </c>
      <c r="C51" t="s">
        <v>129</v>
      </c>
      <c r="D51">
        <v>16530145</v>
      </c>
      <c r="E51">
        <v>4833414.398</v>
      </c>
      <c r="F51">
        <f>SUM($D$51+$E$51)</f>
        <v>21363559.398000002</v>
      </c>
      <c r="G51">
        <f t="shared" si="0"/>
        <v>18183159.5</v>
      </c>
      <c r="H51">
        <f t="shared" si="0"/>
        <v>5316755.8378000008</v>
      </c>
      <c r="I51">
        <f t="shared" si="1"/>
        <v>23499915.3378</v>
      </c>
      <c r="J51">
        <f t="shared" si="2"/>
        <v>20001475.450000003</v>
      </c>
      <c r="K51">
        <f t="shared" si="3"/>
        <v>5848431.4215800017</v>
      </c>
      <c r="L51">
        <f t="shared" si="4"/>
        <v>25849906.871580005</v>
      </c>
      <c r="M51">
        <f t="shared" si="5"/>
        <v>22001622.995000005</v>
      </c>
      <c r="N51">
        <f t="shared" si="6"/>
        <v>6433274.5637380024</v>
      </c>
      <c r="O51">
        <f t="shared" si="7"/>
        <v>28434897.558738008</v>
      </c>
      <c r="P51">
        <f t="shared" si="8"/>
        <v>24201785.294500008</v>
      </c>
      <c r="Q51">
        <f t="shared" si="9"/>
        <v>7076602.020111803</v>
      </c>
      <c r="R51">
        <f t="shared" si="10"/>
        <v>31278387.314611811</v>
      </c>
      <c r="S51">
        <f t="shared" si="11"/>
        <v>26621963.823950011</v>
      </c>
      <c r="T51">
        <f t="shared" si="12"/>
        <v>7784262.222122984</v>
      </c>
      <c r="U51">
        <f t="shared" si="13"/>
        <v>34406226.046072997</v>
      </c>
    </row>
    <row r="52" spans="2:21">
      <c r="B52" t="s">
        <v>151</v>
      </c>
      <c r="C52" t="s">
        <v>145</v>
      </c>
      <c r="D52">
        <v>17987575</v>
      </c>
      <c r="E52">
        <v>7047531.8849999998</v>
      </c>
      <c r="F52">
        <f>SUM($D$52+$E$52)</f>
        <v>25035106.884999998</v>
      </c>
      <c r="G52">
        <f t="shared" si="0"/>
        <v>19786332.5</v>
      </c>
      <c r="H52">
        <f t="shared" si="0"/>
        <v>7752285.0734999999</v>
      </c>
      <c r="I52">
        <f t="shared" si="1"/>
        <v>27538617.5735</v>
      </c>
      <c r="J52">
        <f t="shared" si="2"/>
        <v>21764965.75</v>
      </c>
      <c r="K52">
        <f t="shared" si="3"/>
        <v>8527513.5808500014</v>
      </c>
      <c r="L52">
        <f t="shared" si="4"/>
        <v>30292479.330850001</v>
      </c>
      <c r="M52">
        <f t="shared" si="5"/>
        <v>23941462.325000003</v>
      </c>
      <c r="N52">
        <f t="shared" si="6"/>
        <v>9380264.9389350023</v>
      </c>
      <c r="O52">
        <f t="shared" si="7"/>
        <v>33321727.263935007</v>
      </c>
      <c r="P52">
        <f t="shared" si="8"/>
        <v>26335608.557500005</v>
      </c>
      <c r="Q52">
        <f t="shared" si="9"/>
        <v>10318291.432828503</v>
      </c>
      <c r="R52">
        <f t="shared" si="10"/>
        <v>36653899.990328506</v>
      </c>
      <c r="S52">
        <f t="shared" si="11"/>
        <v>28969169.413250007</v>
      </c>
      <c r="T52">
        <f t="shared" si="12"/>
        <v>11350120.576111354</v>
      </c>
      <c r="U52">
        <f t="shared" si="13"/>
        <v>40319289.989361361</v>
      </c>
    </row>
    <row r="53" spans="2:21">
      <c r="B53" s="2" t="s">
        <v>62</v>
      </c>
      <c r="C53" t="s">
        <v>61</v>
      </c>
      <c r="D53">
        <v>9221571</v>
      </c>
      <c r="E53">
        <v>2750794.6292999997</v>
      </c>
      <c r="F53">
        <f>SUM($D$53+$E$53)</f>
        <v>11972365.6293</v>
      </c>
      <c r="G53">
        <f t="shared" si="0"/>
        <v>10143728.100000001</v>
      </c>
      <c r="H53">
        <f t="shared" si="0"/>
        <v>3025874.0922300001</v>
      </c>
      <c r="I53">
        <f t="shared" si="1"/>
        <v>13169602.192230001</v>
      </c>
      <c r="J53">
        <f t="shared" si="2"/>
        <v>11158100.910000002</v>
      </c>
      <c r="K53">
        <f t="shared" si="3"/>
        <v>3328461.5014530001</v>
      </c>
      <c r="L53">
        <f t="shared" si="4"/>
        <v>14486562.411453001</v>
      </c>
      <c r="M53">
        <f t="shared" si="5"/>
        <v>12273911.001000004</v>
      </c>
      <c r="N53">
        <f t="shared" si="6"/>
        <v>3661307.6515983003</v>
      </c>
      <c r="O53">
        <f t="shared" si="7"/>
        <v>15935218.652598305</v>
      </c>
      <c r="P53">
        <f t="shared" si="8"/>
        <v>13501302.101100005</v>
      </c>
      <c r="Q53">
        <f t="shared" si="9"/>
        <v>4027438.4167581308</v>
      </c>
      <c r="R53">
        <f t="shared" si="10"/>
        <v>17528740.517858136</v>
      </c>
      <c r="S53">
        <f t="shared" si="11"/>
        <v>14851432.311210006</v>
      </c>
      <c r="T53">
        <f t="shared" si="12"/>
        <v>4430182.2584339445</v>
      </c>
      <c r="U53">
        <f t="shared" si="13"/>
        <v>19281614.569643952</v>
      </c>
    </row>
    <row r="54" spans="2:21">
      <c r="B54" t="s">
        <v>103</v>
      </c>
      <c r="C54" t="s">
        <v>104</v>
      </c>
      <c r="D54">
        <v>1303390</v>
      </c>
      <c r="E54">
        <v>22548.647000000001</v>
      </c>
      <c r="F54">
        <f>SUM($D$54+$E$54)</f>
        <v>1325938.6470000001</v>
      </c>
      <c r="G54">
        <f t="shared" si="0"/>
        <v>1433729</v>
      </c>
      <c r="H54">
        <f t="shared" si="0"/>
        <v>24803.511700000003</v>
      </c>
      <c r="I54">
        <f t="shared" si="1"/>
        <v>1458532.5116999999</v>
      </c>
      <c r="J54">
        <f t="shared" si="2"/>
        <v>1577101.9000000001</v>
      </c>
      <c r="K54">
        <f t="shared" si="3"/>
        <v>27283.862870000004</v>
      </c>
      <c r="L54">
        <f t="shared" si="4"/>
        <v>1604385.7628700002</v>
      </c>
      <c r="M54">
        <f t="shared" si="5"/>
        <v>1734812.0900000003</v>
      </c>
      <c r="N54">
        <f t="shared" si="6"/>
        <v>30012.249157000006</v>
      </c>
      <c r="O54">
        <f t="shared" si="7"/>
        <v>1764824.3391570004</v>
      </c>
      <c r="P54">
        <f t="shared" si="8"/>
        <v>1908293.2990000006</v>
      </c>
      <c r="Q54">
        <f t="shared" si="9"/>
        <v>33013.47407270001</v>
      </c>
      <c r="R54">
        <f t="shared" si="10"/>
        <v>1941306.7730727005</v>
      </c>
      <c r="S54">
        <f t="shared" si="11"/>
        <v>2099122.6289000008</v>
      </c>
      <c r="T54">
        <f t="shared" si="12"/>
        <v>36314.821479970014</v>
      </c>
      <c r="U54">
        <f t="shared" si="13"/>
        <v>2135437.4503799709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2024-09-04T21:24:10Z</dcterms:modified>
</cp:coreProperties>
</file>