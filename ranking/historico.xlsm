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3100211F-8140-4690-A9FF-F500D2C88429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6" l="1"/>
  <c r="E10" i="6"/>
  <c r="E9" i="6"/>
  <c r="E8" i="6"/>
  <c r="E7" i="6"/>
  <c r="F13" i="6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40" i="3"/>
  <c r="E12" i="6"/>
  <c r="G12" i="6"/>
  <c r="G11" i="6"/>
  <c r="G10" i="6"/>
  <c r="F11" i="6"/>
  <c r="F10" i="6"/>
  <c r="V26" i="6"/>
  <c r="V25" i="6"/>
  <c r="V27" i="6"/>
  <c r="V24" i="6"/>
  <c r="V23" i="6"/>
  <c r="V22" i="6"/>
  <c r="V21" i="6"/>
  <c r="V20" i="6"/>
  <c r="V19" i="6"/>
  <c r="S28" i="6"/>
  <c r="R28" i="6"/>
  <c r="BB139" i="3"/>
  <c r="BB138" i="3"/>
  <c r="BB137" i="3"/>
  <c r="BB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9" i="3"/>
  <c r="AY138" i="3"/>
  <c r="AY137" i="3"/>
  <c r="AY136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13" i="6"/>
  <c r="C13" i="6"/>
  <c r="B13" i="6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U28" i="6"/>
  <c r="X27" i="6"/>
  <c r="X26" i="6"/>
  <c r="X25" i="6"/>
  <c r="X24" i="6"/>
  <c r="X23" i="6"/>
  <c r="X22" i="6"/>
  <c r="X21" i="6"/>
  <c r="X20" i="6"/>
  <c r="X19" i="6"/>
  <c r="X18" i="6"/>
  <c r="X17" i="6"/>
  <c r="F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X28" i="6" l="1"/>
  <c r="F12" i="6"/>
  <c r="V28" i="6"/>
  <c r="AJ65" i="3"/>
  <c r="AM65" i="3"/>
  <c r="AP65" i="3"/>
  <c r="AS65" i="3"/>
  <c r="O28" i="6"/>
  <c r="L28" i="6"/>
  <c r="F7" i="6" s="1"/>
  <c r="I28" i="6"/>
  <c r="F5" i="6" s="1"/>
  <c r="G28" i="6"/>
  <c r="F28" i="6"/>
  <c r="F4" i="6" s="1"/>
  <c r="D28" i="6"/>
  <c r="C28" i="6"/>
  <c r="F3" i="6" s="1"/>
  <c r="P27" i="6"/>
  <c r="Y27" i="6" s="1"/>
  <c r="M27" i="6"/>
  <c r="J27" i="6"/>
  <c r="P26" i="6"/>
  <c r="Y26" i="6" s="1"/>
  <c r="M26" i="6"/>
  <c r="J26" i="6"/>
  <c r="P25" i="6"/>
  <c r="Y25" i="6" s="1"/>
  <c r="M25" i="6"/>
  <c r="J25" i="6"/>
  <c r="P24" i="6"/>
  <c r="Y24" i="6" s="1"/>
  <c r="M24" i="6"/>
  <c r="J24" i="6"/>
  <c r="P23" i="6"/>
  <c r="Y23" i="6" s="1"/>
  <c r="M23" i="6"/>
  <c r="J23" i="6"/>
  <c r="P22" i="6"/>
  <c r="Y22" i="6" s="1"/>
  <c r="M22" i="6"/>
  <c r="J22" i="6"/>
  <c r="P21" i="6"/>
  <c r="Y21" i="6" s="1"/>
  <c r="M21" i="6"/>
  <c r="J21" i="6"/>
  <c r="P20" i="6"/>
  <c r="Y20" i="6" s="1"/>
  <c r="M20" i="6"/>
  <c r="J20" i="6"/>
  <c r="P19" i="6"/>
  <c r="Y19" i="6" s="1"/>
  <c r="M19" i="6"/>
  <c r="J19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8" i="6" l="1"/>
  <c r="F9" i="6"/>
  <c r="J28" i="6"/>
  <c r="M28" i="6"/>
  <c r="P28" i="6"/>
  <c r="Y28" i="6" s="1"/>
  <c r="F6" i="6"/>
  <c r="G4" i="6"/>
  <c r="G5" i="6"/>
  <c r="G6" i="6"/>
  <c r="G8" i="6"/>
</calcChain>
</file>

<file path=xl/sharedStrings.xml><?xml version="1.0" encoding="utf-8"?>
<sst xmlns="http://schemas.openxmlformats.org/spreadsheetml/2006/main" count="898" uniqueCount="512">
  <si>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</si>
  <si>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</si>
  <si>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</si>
  <si>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</si>
  <si>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</si>
  <si>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</si>
  <si>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</si>
  <si>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</si>
  <si>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</si>
  <si>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</si>
  <si>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</si>
  <si>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</si>
  <si>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</si>
  <si>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</si>
  <si>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</si>
  <si>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</si>
  <si>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</si>
  <si>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</si>
  <si>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</si>
  <si>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</si>
  <si>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</si>
  <si>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</si>
  <si>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</si>
  <si>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</si>
  <si>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</si>
  <si>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</si>
  <si>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</si>
  <si>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</si>
  <si>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</si>
  <si>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</si>
  <si>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</si>
  <si>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</si>
  <si>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</si>
  <si>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</si>
  <si>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</si>
  <si>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</si>
  <si>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</si>
  <si>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</si>
  <si>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</si>
  <si>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</si>
  <si>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</si>
  <si>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</si>
  <si>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</si>
  <si>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</si>
  <si>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</si>
  <si>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</si>
  <si>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</si>
  <si>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</si>
  <si>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</si>
  <si>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</si>
  <si>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</si>
  <si>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</si>
  <si>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</si>
  <si>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</si>
  <si>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</si>
  <si>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</si>
  <si>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</si>
  <si>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</si>
  <si>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</si>
  <si>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</si>
  <si>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</si>
  <si>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</si>
  <si>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</si>
  <si>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</si>
  <si>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</si>
  <si>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</si>
  <si>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</si>
  <si>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</si>
  <si>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</si>
  <si>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</si>
  <si>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</si>
  <si>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</si>
  <si>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</si>
  <si>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</si>
  <si>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</si>
  <si>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</si>
  <si>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</si>
  <si>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</si>
  <si>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</si>
  <si>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</si>
  <si>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</si>
  <si>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</si>
  <si>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</si>
  <si>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</si>
  <si>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</si>
  <si>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</si>
  <si>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</si>
  <si>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</si>
  <si>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</si>
  <si>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</si>
  <si>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</si>
  <si>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</si>
  <si>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</si>
  <si>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</si>
  <si>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</si>
  <si>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</si>
  <si>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</si>
  <si>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</si>
  <si>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</si>
  <si>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</si>
  <si>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</si>
  <si>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</si>
  <si>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</si>
  <si>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</si>
  <si>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</si>
  <si>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</si>
  <si>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</si>
  <si>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</si>
  <si>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</si>
  <si>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</si>
  <si>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</si>
  <si>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</si>
  <si>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</si>
  <si>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</si>
  <si>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</si>
  <si>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</si>
  <si>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</si>
  <si>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</si>
  <si>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</si>
  <si>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</si>
  <si>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</si>
  <si>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</si>
  <si>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</si>
  <si>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</si>
  <si>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</si>
  <si>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</si>
  <si>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</si>
  <si>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</si>
  <si>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</si>
  <si>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</si>
  <si>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</si>
  <si>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</si>
  <si>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</si>
  <si>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</si>
  <si>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</si>
  <si>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</si>
  <si>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</si>
  <si>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</si>
  <si>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</si>
  <si>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</si>
  <si>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</si>
  <si>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</si>
  <si>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</si>
  <si>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</si>
  <si>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</si>
  <si>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</si>
  <si>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</si>
  <si>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</si>
  <si>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</si>
  <si>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</si>
  <si>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</si>
  <si>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</si>
  <si>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</si>
  <si>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</si>
  <si>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</si>
  <si>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</si>
  <si>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</si>
  <si>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</si>
  <si>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</si>
  <si>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</si>
  <si>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</si>
  <si>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</si>
  <si>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</si>
  <si>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</si>
  <si>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</si>
  <si>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</si>
  <si>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</si>
  <si>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</si>
  <si>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</si>
  <si>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</si>
  <si>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</si>
  <si>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</si>
  <si>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</si>
  <si>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</si>
  <si>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</si>
  <si>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</si>
  <si>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</si>
  <si>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</si>
  <si>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</si>
  <si>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</si>
  <si>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</si>
  <si>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</si>
  <si>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</si>
  <si>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</si>
  <si>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</si>
  <si>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</si>
  <si>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</si>
  <si>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</si>
  <si>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</si>
  <si>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</si>
  <si>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</si>
  <si>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</si>
  <si>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</si>
  <si>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</si>
  <si>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</si>
  <si>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</si>
  <si>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</si>
  <si>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</si>
  <si>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</si>
  <si>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</si>
  <si>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</si>
  <si>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</si>
  <si>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</si>
  <si>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</si>
  <si>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</si>
  <si>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</si>
  <si>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</si>
  <si>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</si>
  <si>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</si>
  <si>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</si>
  <si>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</si>
  <si>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</si>
  <si>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</si>
  <si>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</si>
  <si>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</si>
  <si>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</si>
  <si>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</si>
  <si>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</si>
  <si>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</si>
  <si>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</si>
  <si>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</si>
  <si>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</si>
  <si>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</si>
  <si>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</si>
  <si>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</si>
  <si>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</si>
  <si>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</si>
  <si>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</si>
  <si>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</si>
  <si>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</si>
  <si>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</si>
  <si>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</si>
  <si>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</si>
  <si>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</si>
  <si>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</si>
  <si>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</si>
  <si>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</si>
  <si>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</si>
  <si>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</si>
  <si>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</si>
  <si>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</si>
  <si>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</si>
  <si>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</si>
  <si>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</si>
  <si>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</si>
  <si>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</si>
  <si>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</si>
  <si>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</si>
  <si>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</si>
  <si>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</si>
  <si>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</si>
  <si>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</si>
  <si>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</si>
  <si>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</si>
  <si>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</si>
  <si>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</si>
  <si>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</si>
  <si>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</si>
  <si>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</si>
  <si>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</si>
  <si>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</si>
  <si>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</si>
  <si>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</si>
  <si>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</si>
  <si>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</si>
  <si>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</si>
  <si>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</si>
  <si>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</si>
  <si>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</si>
  <si>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</si>
  <si>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</si>
  <si>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</si>
  <si>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</si>
  <si>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</si>
  <si>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</si>
  <si>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</si>
  <si>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</si>
  <si>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</si>
  <si>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</si>
  <si>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</si>
  <si>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</si>
  <si>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</si>
  <si>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</si>
  <si>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</si>
  <si>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</si>
  <si>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</si>
  <si>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</si>
  <si>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</si>
  <si>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</si>
  <si>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</si>
  <si>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</si>
  <si>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</si>
  <si>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</si>
  <si>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</si>
  <si>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</si>
  <si>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</si>
  <si>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</si>
  <si>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</si>
  <si>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</si>
  <si>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</si>
  <si>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</si>
  <si>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</si>
  <si>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</si>
  <si>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</si>
  <si>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</si>
  <si>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</si>
  <si>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</si>
  <si>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</si>
  <si>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</si>
  <si>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</si>
  <si>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</si>
  <si>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</si>
  <si>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</si>
  <si>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</si>
  <si>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</si>
  <si>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</si>
  <si>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</si>
  <si>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</si>
  <si>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</si>
  <si>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</si>
  <si>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</si>
  <si>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</si>
  <si>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</si>
  <si>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</si>
  <si>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</si>
  <si>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</si>
  <si>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</si>
  <si>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</si>
  <si>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</si>
  <si>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</si>
  <si>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</si>
  <si>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</si>
  <si>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</si>
  <si>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</si>
  <si>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</si>
  <si>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</si>
  <si>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</si>
  <si>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</si>
  <si>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</si>
  <si>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</si>
  <si>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</si>
  <si>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</si>
  <si>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</si>
  <si>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</si>
  <si>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</si>
  <si>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</si>
  <si>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</si>
  <si>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</si>
  <si>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</si>
  <si>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</si>
  <si>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</si>
  <si>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</si>
  <si>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</si>
  <si>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</si>
  <si>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</si>
  <si>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</si>
  <si>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</si>
  <si>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</si>
  <si>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</si>
  <si>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</si>
  <si>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</si>
  <si>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</si>
  <si>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</si>
  <si>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</si>
  <si>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</si>
  <si>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</si>
  <si>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</si>
  <si>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</si>
  <si>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</si>
  <si>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</si>
  <si>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</si>
  <si>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</si>
  <si>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</si>
  <si>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</si>
  <si>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</si>
  <si>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</si>
  <si>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</si>
  <si>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</si>
  <si>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</si>
  <si>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</si>
  <si>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</si>
  <si>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</si>
  <si>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</si>
  <si>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</si>
  <si>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</si>
  <si>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</si>
  <si>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</si>
  <si>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</si>
  <si>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</si>
  <si>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</si>
  <si>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</si>
  <si>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</si>
  <si>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</si>
  <si>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</si>
  <si>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</si>
  <si>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</si>
  <si>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</si>
  <si>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</si>
  <si>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</si>
  <si>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</si>
  <si>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</si>
  <si>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</si>
  <si>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</si>
  <si>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</si>
  <si>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</si>
  <si>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</si>
  <si>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</si>
  <si>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</si>
  <si>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</si>
  <si>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</si>
  <si>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</si>
  <si>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</si>
  <si>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</si>
  <si>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</si>
  <si>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</si>
  <si>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</si>
  <si>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</si>
  <si>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</si>
  <si>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</si>
  <si>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</si>
  <si>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</si>
  <si>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</si>
  <si>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</si>
  <si>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</si>
  <si>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</si>
  <si>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</si>
  <si>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</si>
  <si>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</si>
  <si>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</si>
  <si>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</si>
  <si>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</si>
  <si>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</si>
  <si>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</si>
  <si>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</si>
  <si>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</si>
  <si>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</si>
  <si>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</si>
  <si>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</si>
  <si>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</si>
  <si>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</si>
  <si>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</si>
  <si>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</si>
  <si>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</si>
  <si>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</si>
  <si>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</si>
  <si>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</si>
  <si>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</si>
  <si>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</si>
  <si>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</si>
  <si>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</si>
  <si>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</si>
  <si>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</si>
  <si>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</si>
  <si>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29/02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</si>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</sst>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8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  <font>
      <sz val="10"/>
      <color rgb="FF4343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9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7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43" fontId="5" fillId="2" borderId="0" xfId="1" applyFont="1" applyFill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7" fillId="0" borderId="0" xfId="0" applyFont="1"/>
    <xf numFmtId="10" fontId="0" fillId="0" borderId="0" xfId="2" applyNumberFormat="1" applyFont="1"/>
  </cellXfs>
  <cellStyles count="3">
    <cellStyle name="Normal" xfId="0" builtinId="0"/>
    <cellStyle name="Porcentagem" xfId="2" builtinId="5"/>
    <cellStyle name="Vírgula" xfId="1" builtinId="3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60"/>
  <sheetViews>
    <sheetView tabSelected="1" topLeftCell="A133" zoomScaleNormal="100" workbookViewId="0">
      <selection activeCell="C140" sqref="C140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t="s">
        <v>346</v>
      </c>
      <c r="B2" t="s">
        <v>324</v>
      </c>
      <c r="C2">
        <v>92506851953.625595</v>
      </c>
      <c r="D2">
        <v>1</v>
      </c>
      <c r="E2" t="s">
        <v>323</v>
      </c>
    </row>
    <row r="3" spans="1:5">
      <c r="A3" s="2" t="s">
        <v>371</v>
      </c>
      <c r="B3" t="s">
        <v>366</v>
      </c>
      <c r="C3">
        <v>81901559545.947998</v>
      </c>
      <c r="D3">
        <v>2</v>
      </c>
      <c r="E3" t="s">
        <v>367</v>
      </c>
    </row>
    <row r="4" spans="1:5">
      <c r="A4" s="2" t="s">
        <v>44</v>
      </c>
      <c r="B4" t="s">
        <v>43</v>
      </c>
      <c r="C4" s="2">
        <v>58978314773.873596</v>
      </c>
      <c r="D4">
        <v>3</v>
      </c>
      <c r="E4" t="s">
        <v>63</v>
      </c>
    </row>
    <row r="5" spans="1:5">
      <c r="A5" t="s">
        <v>242</v>
      </c>
      <c r="B5" t="s">
        <v>241</v>
      </c>
      <c r="C5">
        <v>48920565947.091698</v>
      </c>
      <c r="D5">
        <v>4</v>
      </c>
      <c r="E5" t="s">
        <v>240</v>
      </c>
    </row>
    <row r="6" spans="1:5">
      <c r="A6" t="s">
        <v>352</v>
      </c>
      <c r="B6" t="s">
        <v>335</v>
      </c>
      <c r="C6">
        <v>48717872145.623199</v>
      </c>
      <c r="D6">
        <v>5</v>
      </c>
      <c r="E6" t="s">
        <v>336</v>
      </c>
    </row>
    <row r="7" spans="1:5">
      <c r="A7" s="2" t="s">
        <v>162</v>
      </c>
      <c r="B7" t="s">
        <v>160</v>
      </c>
      <c r="C7">
        <v>44331622678.556007</v>
      </c>
      <c r="D7">
        <v>6</v>
      </c>
      <c r="E7" t="s">
        <v>161</v>
      </c>
    </row>
    <row r="8" spans="1:5">
      <c r="A8" s="2" t="s">
        <v>31</v>
      </c>
      <c r="B8" t="s">
        <v>32</v>
      </c>
      <c r="C8" s="2">
        <v>43683357341.118301</v>
      </c>
      <c r="D8">
        <v>7</v>
      </c>
      <c r="E8" t="s">
        <v>62</v>
      </c>
    </row>
    <row r="9" spans="1:5">
      <c r="A9" s="2" t="s">
        <v>88</v>
      </c>
      <c r="B9" t="s">
        <v>87</v>
      </c>
      <c r="C9" s="2">
        <v>41847506844.9272</v>
      </c>
      <c r="D9">
        <v>8</v>
      </c>
      <c r="E9" t="s">
        <v>124</v>
      </c>
    </row>
    <row r="10" spans="1:5">
      <c r="A10" s="2" t="s">
        <v>24</v>
      </c>
      <c r="B10" t="s">
        <v>20</v>
      </c>
      <c r="C10" s="2">
        <v>41083520138.2416</v>
      </c>
      <c r="D10">
        <v>9</v>
      </c>
      <c r="E10" t="s">
        <v>61</v>
      </c>
    </row>
    <row r="11" spans="1:5">
      <c r="A11" s="1" t="s">
        <v>5</v>
      </c>
      <c r="B11" t="s">
        <v>3</v>
      </c>
      <c r="C11" s="2">
        <v>34711689548.236198</v>
      </c>
      <c r="D11">
        <v>10</v>
      </c>
      <c r="E11" t="s">
        <v>3</v>
      </c>
    </row>
    <row r="12" spans="1:5">
      <c r="A12" t="s">
        <v>400</v>
      </c>
      <c r="B12" t="s">
        <v>376</v>
      </c>
      <c r="C12">
        <v>33732423324.696602</v>
      </c>
      <c r="D12">
        <v>11</v>
      </c>
      <c r="E12" t="s">
        <v>432</v>
      </c>
    </row>
    <row r="13" spans="1:5">
      <c r="A13" s="1" t="s">
        <v>1</v>
      </c>
      <c r="B13" t="s">
        <v>0</v>
      </c>
      <c r="C13" s="2">
        <v>31829800103.366402</v>
      </c>
      <c r="D13">
        <v>12</v>
      </c>
      <c r="E13" t="s">
        <v>0</v>
      </c>
    </row>
    <row r="14" spans="1:5">
      <c r="A14" t="s">
        <v>198</v>
      </c>
      <c r="B14" t="s">
        <v>197</v>
      </c>
      <c r="C14">
        <v>24858952444.8186</v>
      </c>
      <c r="D14">
        <v>13</v>
      </c>
      <c r="E14" t="s">
        <v>196</v>
      </c>
    </row>
    <row r="15" spans="1:5">
      <c r="A15" s="2" t="s">
        <v>46</v>
      </c>
      <c r="B15" s="2" t="s">
        <v>45</v>
      </c>
      <c r="C15" s="2">
        <v>24230282821.742401</v>
      </c>
      <c r="D15">
        <v>14</v>
      </c>
      <c r="E15" t="s">
        <v>64</v>
      </c>
    </row>
    <row r="16" spans="1:5">
      <c r="A16" s="2" t="s">
        <v>216</v>
      </c>
      <c r="B16" t="s">
        <v>205</v>
      </c>
      <c r="C16" s="2">
        <v>23548464462.0191</v>
      </c>
      <c r="D16">
        <v>15</v>
      </c>
      <c r="E16" t="s">
        <v>204</v>
      </c>
    </row>
    <row r="17" spans="1:5">
      <c r="A17" t="s">
        <v>267</v>
      </c>
      <c r="B17" t="s">
        <v>264</v>
      </c>
      <c r="C17">
        <v>22920193773.506802</v>
      </c>
      <c r="D17">
        <v>16</v>
      </c>
      <c r="E17" t="s">
        <v>263</v>
      </c>
    </row>
    <row r="18" spans="1:5">
      <c r="A18" t="s">
        <v>312</v>
      </c>
      <c r="B18" t="s">
        <v>289</v>
      </c>
      <c r="C18">
        <v>22001924866.947601</v>
      </c>
      <c r="D18">
        <v>17</v>
      </c>
      <c r="E18" t="s">
        <v>288</v>
      </c>
    </row>
    <row r="19" spans="1:5">
      <c r="A19" t="s">
        <v>141</v>
      </c>
      <c r="B19" t="s">
        <v>142</v>
      </c>
      <c r="C19">
        <v>20572262418.821999</v>
      </c>
      <c r="D19">
        <v>18</v>
      </c>
      <c r="E19" t="s">
        <v>143</v>
      </c>
    </row>
    <row r="20" spans="1:5">
      <c r="A20" t="s">
        <v>406</v>
      </c>
      <c r="B20" t="s">
        <v>382</v>
      </c>
      <c r="C20">
        <v>20559312640.5009</v>
      </c>
      <c r="D20">
        <v>19</v>
      </c>
      <c r="E20" t="s">
        <v>436</v>
      </c>
    </row>
    <row r="21" spans="1:5">
      <c r="A21" s="2" t="s">
        <v>42</v>
      </c>
      <c r="B21" t="s">
        <v>41</v>
      </c>
      <c r="C21" s="2">
        <v>18729679832.368999</v>
      </c>
      <c r="D21">
        <v>20</v>
      </c>
      <c r="E21" t="s">
        <v>41</v>
      </c>
    </row>
    <row r="22" spans="1:5">
      <c r="A22" t="s">
        <v>421</v>
      </c>
      <c r="B22" t="s">
        <v>397</v>
      </c>
      <c r="C22">
        <v>18546545611.73</v>
      </c>
      <c r="D22">
        <v>21</v>
      </c>
      <c r="E22" t="s">
        <v>448</v>
      </c>
    </row>
    <row r="23" spans="1:5">
      <c r="A23" t="s">
        <v>416</v>
      </c>
      <c r="B23" t="s">
        <v>392</v>
      </c>
      <c r="C23">
        <v>18376521244.716099</v>
      </c>
      <c r="D23">
        <v>22</v>
      </c>
      <c r="E23" t="s">
        <v>444</v>
      </c>
    </row>
    <row r="24" spans="1:5">
      <c r="A24" t="s">
        <v>125</v>
      </c>
      <c r="B24" t="s">
        <v>126</v>
      </c>
      <c r="C24">
        <v>18164312379.166801</v>
      </c>
      <c r="D24">
        <v>23</v>
      </c>
      <c r="E24" t="s">
        <v>127</v>
      </c>
    </row>
    <row r="25" spans="1:5">
      <c r="A25" s="3" t="s">
        <v>215</v>
      </c>
      <c r="B25" t="s">
        <v>209</v>
      </c>
      <c r="C25" s="2">
        <v>17941280629.9576</v>
      </c>
      <c r="D25">
        <v>24</v>
      </c>
      <c r="E25" t="s">
        <v>208</v>
      </c>
    </row>
    <row r="26" spans="1:5">
      <c r="A26" t="s">
        <v>270</v>
      </c>
      <c r="B26" t="s">
        <v>269</v>
      </c>
      <c r="C26">
        <v>17726637343.559402</v>
      </c>
      <c r="D26">
        <v>25</v>
      </c>
      <c r="E26" t="s">
        <v>268</v>
      </c>
    </row>
    <row r="27" spans="1:5">
      <c r="A27" t="s">
        <v>351</v>
      </c>
      <c r="B27" t="s">
        <v>333</v>
      </c>
      <c r="C27">
        <v>17391738712.874699</v>
      </c>
      <c r="D27">
        <v>26</v>
      </c>
      <c r="E27" t="s">
        <v>334</v>
      </c>
    </row>
    <row r="28" spans="1:5">
      <c r="A28" t="s">
        <v>110</v>
      </c>
      <c r="B28" t="s">
        <v>111</v>
      </c>
      <c r="C28">
        <v>17165422340.835602</v>
      </c>
      <c r="D28">
        <v>27</v>
      </c>
      <c r="E28" t="s">
        <v>156</v>
      </c>
    </row>
    <row r="29" spans="1:5">
      <c r="A29" s="2" t="s">
        <v>48</v>
      </c>
      <c r="B29" t="s">
        <v>47</v>
      </c>
      <c r="C29" s="2">
        <v>17138475788.522999</v>
      </c>
      <c r="D29">
        <v>28</v>
      </c>
      <c r="E29" t="s">
        <v>67</v>
      </c>
    </row>
    <row r="30" spans="1:5">
      <c r="A30" s="2" t="s">
        <v>50</v>
      </c>
      <c r="B30" s="2" t="s">
        <v>49</v>
      </c>
      <c r="C30" s="2">
        <v>16870236401.9928</v>
      </c>
      <c r="D30">
        <v>29</v>
      </c>
      <c r="E30" t="s">
        <v>243</v>
      </c>
    </row>
    <row r="31" spans="1:5">
      <c r="A31" t="s">
        <v>102</v>
      </c>
      <c r="B31" t="s">
        <v>103</v>
      </c>
      <c r="C31">
        <v>16406043606.571199</v>
      </c>
      <c r="D31">
        <v>30</v>
      </c>
      <c r="E31" t="s">
        <v>104</v>
      </c>
    </row>
    <row r="32" spans="1:5">
      <c r="A32" t="s">
        <v>318</v>
      </c>
      <c r="B32" t="s">
        <v>300</v>
      </c>
      <c r="C32">
        <v>15903591676.73</v>
      </c>
      <c r="D32">
        <v>31</v>
      </c>
      <c r="E32" t="s">
        <v>301</v>
      </c>
    </row>
    <row r="33" spans="1:5">
      <c r="A33" t="s">
        <v>223</v>
      </c>
      <c r="B33" t="s">
        <v>213</v>
      </c>
      <c r="C33">
        <v>15662158218.9006</v>
      </c>
      <c r="D33">
        <v>32</v>
      </c>
      <c r="E33" t="s">
        <v>212</v>
      </c>
    </row>
    <row r="34" spans="1:5">
      <c r="A34" t="s">
        <v>118</v>
      </c>
      <c r="B34" t="s">
        <v>119</v>
      </c>
      <c r="C34">
        <v>15610883638.8696</v>
      </c>
      <c r="D34">
        <v>33</v>
      </c>
      <c r="E34" t="s">
        <v>120</v>
      </c>
    </row>
    <row r="35" spans="1:5">
      <c r="A35" t="s">
        <v>128</v>
      </c>
      <c r="B35" t="s">
        <v>129</v>
      </c>
      <c r="C35">
        <v>14977713964.077799</v>
      </c>
      <c r="D35">
        <v>34</v>
      </c>
      <c r="E35" t="s">
        <v>130</v>
      </c>
    </row>
    <row r="36" spans="1:5">
      <c r="A36" t="s">
        <v>319</v>
      </c>
      <c r="B36" t="s">
        <v>302</v>
      </c>
      <c r="C36">
        <v>14607559344.5068</v>
      </c>
      <c r="D36">
        <v>35</v>
      </c>
      <c r="E36" t="s">
        <v>303</v>
      </c>
    </row>
    <row r="37" spans="1:5">
      <c r="A37" t="s">
        <v>355</v>
      </c>
      <c r="B37" t="s">
        <v>343</v>
      </c>
      <c r="C37">
        <v>14201032537.174601</v>
      </c>
      <c r="D37">
        <v>36</v>
      </c>
      <c r="E37" t="s">
        <v>342</v>
      </c>
    </row>
    <row r="38" spans="1:5">
      <c r="A38" s="2" t="s">
        <v>23</v>
      </c>
      <c r="B38" t="s">
        <v>18</v>
      </c>
      <c r="C38" s="2">
        <v>13969166967.6106</v>
      </c>
      <c r="D38">
        <v>37</v>
      </c>
      <c r="E38" t="s">
        <v>73</v>
      </c>
    </row>
    <row r="39" spans="1:5">
      <c r="A39" t="s">
        <v>374</v>
      </c>
      <c r="B39" t="s">
        <v>368</v>
      </c>
      <c r="C39">
        <v>13747194965.028999</v>
      </c>
      <c r="D39">
        <v>38</v>
      </c>
      <c r="E39" t="s">
        <v>373</v>
      </c>
    </row>
    <row r="40" spans="1:5">
      <c r="A40" t="s">
        <v>229</v>
      </c>
      <c r="B40" t="s">
        <v>230</v>
      </c>
      <c r="C40">
        <v>13408932472.7973</v>
      </c>
      <c r="D40">
        <v>39</v>
      </c>
      <c r="E40" t="s">
        <v>228</v>
      </c>
    </row>
    <row r="41" spans="1:5">
      <c r="A41" t="s">
        <v>222</v>
      </c>
      <c r="B41" t="s">
        <v>211</v>
      </c>
      <c r="C41">
        <v>13317103746.624201</v>
      </c>
      <c r="D41">
        <v>40</v>
      </c>
      <c r="E41" t="s">
        <v>210</v>
      </c>
    </row>
    <row r="42" spans="1:5">
      <c r="A42" t="s">
        <v>353</v>
      </c>
      <c r="B42" t="s">
        <v>338</v>
      </c>
      <c r="C42">
        <v>13083005432.6628</v>
      </c>
      <c r="D42">
        <v>41</v>
      </c>
      <c r="E42" t="s">
        <v>337</v>
      </c>
    </row>
    <row r="43" spans="1:5">
      <c r="A43" t="s">
        <v>154</v>
      </c>
      <c r="B43" t="s">
        <v>155</v>
      </c>
      <c r="C43">
        <v>12836328673.330999</v>
      </c>
      <c r="D43">
        <v>42</v>
      </c>
      <c r="E43" t="s">
        <v>153</v>
      </c>
    </row>
    <row r="44" spans="1:5">
      <c r="A44" t="s">
        <v>134</v>
      </c>
      <c r="B44" t="s">
        <v>135</v>
      </c>
      <c r="C44">
        <v>12763066518.4776</v>
      </c>
      <c r="D44">
        <v>43</v>
      </c>
      <c r="E44" t="s">
        <v>136</v>
      </c>
    </row>
    <row r="45" spans="1:5">
      <c r="A45" t="s">
        <v>184</v>
      </c>
      <c r="B45" t="s">
        <v>274</v>
      </c>
      <c r="C45">
        <v>12529687660.167999</v>
      </c>
      <c r="D45">
        <v>44</v>
      </c>
      <c r="E45" t="s">
        <v>227</v>
      </c>
    </row>
    <row r="46" spans="1:5">
      <c r="A46" t="s">
        <v>96</v>
      </c>
      <c r="B46" t="s">
        <v>97</v>
      </c>
      <c r="C46">
        <v>12454719312.871199</v>
      </c>
      <c r="D46">
        <v>45</v>
      </c>
      <c r="E46" t="s">
        <v>98</v>
      </c>
    </row>
    <row r="47" spans="1:5">
      <c r="A47" t="s">
        <v>6</v>
      </c>
      <c r="B47" t="s">
        <v>4</v>
      </c>
      <c r="C47" s="2">
        <v>12360924217.101</v>
      </c>
      <c r="D47">
        <v>46</v>
      </c>
      <c r="E47" t="s">
        <v>4</v>
      </c>
    </row>
    <row r="48" spans="1:5">
      <c r="A48" s="3" t="s">
        <v>83</v>
      </c>
      <c r="B48" t="s">
        <v>81</v>
      </c>
      <c r="C48" s="2">
        <v>12028428914.0867</v>
      </c>
      <c r="D48">
        <v>47</v>
      </c>
      <c r="E48" t="s">
        <v>82</v>
      </c>
    </row>
    <row r="49" spans="1:5">
      <c r="A49" s="1" t="s">
        <v>158</v>
      </c>
      <c r="B49" t="s">
        <v>159</v>
      </c>
      <c r="C49">
        <v>11859830211.347601</v>
      </c>
      <c r="D49">
        <v>48</v>
      </c>
      <c r="E49" t="s">
        <v>157</v>
      </c>
    </row>
    <row r="50" spans="1:5">
      <c r="A50" t="s">
        <v>316</v>
      </c>
      <c r="B50" t="s">
        <v>296</v>
      </c>
      <c r="C50">
        <v>11440137433.9909</v>
      </c>
      <c r="D50">
        <v>49</v>
      </c>
      <c r="E50" t="s">
        <v>297</v>
      </c>
    </row>
    <row r="51" spans="1:5">
      <c r="A51" s="2" t="s">
        <v>29</v>
      </c>
      <c r="B51" t="s">
        <v>27</v>
      </c>
      <c r="C51" s="2">
        <v>10254565323.262499</v>
      </c>
      <c r="D51">
        <v>50</v>
      </c>
      <c r="E51" t="s">
        <v>68</v>
      </c>
    </row>
    <row r="52" spans="1:5">
      <c r="A52" s="2" t="s">
        <v>60</v>
      </c>
      <c r="B52" t="s">
        <v>59</v>
      </c>
      <c r="C52" s="2">
        <v>9750490801.6800003</v>
      </c>
      <c r="D52">
        <v>51</v>
      </c>
      <c r="E52" t="s">
        <v>71</v>
      </c>
    </row>
    <row r="53" spans="1:5">
      <c r="A53" s="2" t="s">
        <v>56</v>
      </c>
      <c r="B53" t="s">
        <v>95</v>
      </c>
      <c r="C53" s="2">
        <v>9715690801.9939003</v>
      </c>
      <c r="D53">
        <v>52</v>
      </c>
      <c r="E53" t="s">
        <v>55</v>
      </c>
    </row>
    <row r="54" spans="1:5">
      <c r="A54" t="s">
        <v>419</v>
      </c>
      <c r="B54" t="s">
        <v>395</v>
      </c>
      <c r="C54">
        <v>8907161409.4630985</v>
      </c>
      <c r="D54">
        <v>53</v>
      </c>
      <c r="E54" t="s">
        <v>425</v>
      </c>
    </row>
    <row r="55" spans="1:5">
      <c r="A55" t="s">
        <v>408</v>
      </c>
      <c r="B55" t="s">
        <v>384</v>
      </c>
      <c r="C55">
        <v>8699039032.4436989</v>
      </c>
      <c r="D55">
        <v>54</v>
      </c>
      <c r="E55" t="s">
        <v>438</v>
      </c>
    </row>
    <row r="56" spans="1:5">
      <c r="A56" t="s">
        <v>410</v>
      </c>
      <c r="B56" t="s">
        <v>386</v>
      </c>
      <c r="C56">
        <v>8613589548.5799999</v>
      </c>
      <c r="D56">
        <v>55</v>
      </c>
      <c r="E56" t="s">
        <v>440</v>
      </c>
    </row>
    <row r="57" spans="1:5">
      <c r="A57" t="s">
        <v>492</v>
      </c>
      <c r="B57" t="s">
        <v>457</v>
      </c>
      <c r="C57">
        <v>8539059147.4467993</v>
      </c>
      <c r="D57">
        <v>56</v>
      </c>
      <c r="E57" t="s">
        <v>457</v>
      </c>
    </row>
    <row r="58" spans="1:5">
      <c r="A58" t="s">
        <v>226</v>
      </c>
      <c r="B58" t="s">
        <v>225</v>
      </c>
      <c r="C58">
        <v>8212054621.4671993</v>
      </c>
      <c r="D58">
        <v>57</v>
      </c>
      <c r="E58" t="s">
        <v>224</v>
      </c>
    </row>
    <row r="59" spans="1:5">
      <c r="A59" s="2" t="s">
        <v>15</v>
      </c>
      <c r="B59" t="s">
        <v>11</v>
      </c>
      <c r="C59" s="2">
        <v>7645022073.8655996</v>
      </c>
      <c r="D59">
        <v>58</v>
      </c>
      <c r="E59" t="s">
        <v>74</v>
      </c>
    </row>
    <row r="60" spans="1:5">
      <c r="A60" t="s">
        <v>99</v>
      </c>
      <c r="B60" t="s">
        <v>100</v>
      </c>
      <c r="C60">
        <v>7307714422.3080006</v>
      </c>
      <c r="D60">
        <v>59</v>
      </c>
      <c r="E60" t="s">
        <v>101</v>
      </c>
    </row>
    <row r="61" spans="1:5">
      <c r="A61" t="s">
        <v>310</v>
      </c>
      <c r="B61" t="s">
        <v>283</v>
      </c>
      <c r="C61">
        <v>7276144514.2687998</v>
      </c>
      <c r="D61">
        <v>60</v>
      </c>
      <c r="E61" t="s">
        <v>284</v>
      </c>
    </row>
    <row r="62" spans="1:5">
      <c r="A62" t="s">
        <v>257</v>
      </c>
      <c r="B62" t="s">
        <v>252</v>
      </c>
      <c r="C62">
        <v>6960182623.7865</v>
      </c>
      <c r="D62">
        <v>61</v>
      </c>
      <c r="E62" t="s">
        <v>251</v>
      </c>
    </row>
    <row r="63" spans="1:5">
      <c r="A63" t="s">
        <v>407</v>
      </c>
      <c r="B63" t="s">
        <v>383</v>
      </c>
      <c r="C63">
        <v>6524878815.0159998</v>
      </c>
      <c r="D63">
        <v>62</v>
      </c>
      <c r="E63" t="s">
        <v>437</v>
      </c>
    </row>
    <row r="64" spans="1:5">
      <c r="A64" t="s">
        <v>320</v>
      </c>
      <c r="B64" t="s">
        <v>304</v>
      </c>
      <c r="C64">
        <v>6502790168.677</v>
      </c>
      <c r="D64">
        <v>63</v>
      </c>
      <c r="E64" t="s">
        <v>305</v>
      </c>
    </row>
    <row r="65" spans="1:5">
      <c r="A65" t="s">
        <v>131</v>
      </c>
      <c r="B65" t="s">
        <v>137</v>
      </c>
      <c r="C65">
        <v>6360487815.6620998</v>
      </c>
      <c r="D65">
        <v>64</v>
      </c>
      <c r="E65" t="s">
        <v>133</v>
      </c>
    </row>
    <row r="66" spans="1:5">
      <c r="A66" t="s">
        <v>89</v>
      </c>
      <c r="B66" t="s">
        <v>90</v>
      </c>
      <c r="C66">
        <v>6189790140.8944006</v>
      </c>
      <c r="D66">
        <v>65</v>
      </c>
      <c r="E66" t="s">
        <v>91</v>
      </c>
    </row>
    <row r="67" spans="1:5">
      <c r="A67" t="s">
        <v>233</v>
      </c>
      <c r="B67" t="s">
        <v>232</v>
      </c>
      <c r="C67">
        <v>6161948101.6749001</v>
      </c>
      <c r="D67">
        <v>66</v>
      </c>
      <c r="E67" t="s">
        <v>231</v>
      </c>
    </row>
    <row r="68" spans="1:5">
      <c r="A68" t="s">
        <v>307</v>
      </c>
      <c r="B68" t="s">
        <v>277</v>
      </c>
      <c r="C68">
        <v>6013540330.2764006</v>
      </c>
      <c r="D68">
        <v>67</v>
      </c>
      <c r="E68" t="s">
        <v>278</v>
      </c>
    </row>
    <row r="69" spans="1:5">
      <c r="A69" s="2" t="s">
        <v>86</v>
      </c>
      <c r="B69" t="s">
        <v>84</v>
      </c>
      <c r="C69" s="2">
        <v>6011700729.8115997</v>
      </c>
      <c r="D69">
        <v>68</v>
      </c>
      <c r="E69" t="s">
        <v>85</v>
      </c>
    </row>
    <row r="70" spans="1:5">
      <c r="A70" t="s">
        <v>405</v>
      </c>
      <c r="B70" t="s">
        <v>381</v>
      </c>
      <c r="C70">
        <v>5978492373.6957998</v>
      </c>
      <c r="D70">
        <v>69</v>
      </c>
      <c r="E70" t="s">
        <v>435</v>
      </c>
    </row>
    <row r="71" spans="1:5">
      <c r="A71" t="s">
        <v>315</v>
      </c>
      <c r="B71" t="s">
        <v>294</v>
      </c>
      <c r="C71">
        <v>5961522315.9419003</v>
      </c>
      <c r="D71">
        <v>70</v>
      </c>
      <c r="E71" t="s">
        <v>295</v>
      </c>
    </row>
    <row r="72" spans="1:5">
      <c r="A72" t="s">
        <v>363</v>
      </c>
      <c r="B72" t="s">
        <v>360</v>
      </c>
      <c r="C72">
        <v>5379079060.6356001</v>
      </c>
      <c r="D72">
        <v>71</v>
      </c>
      <c r="E72" t="s">
        <v>359</v>
      </c>
    </row>
    <row r="73" spans="1:5">
      <c r="A73" t="s">
        <v>112</v>
      </c>
      <c r="B73" t="s">
        <v>113</v>
      </c>
      <c r="C73">
        <v>5165768269.7800999</v>
      </c>
      <c r="D73">
        <v>72</v>
      </c>
      <c r="E73" t="s">
        <v>114</v>
      </c>
    </row>
    <row r="74" spans="1:5">
      <c r="A74" t="s">
        <v>358</v>
      </c>
      <c r="B74" t="s">
        <v>339</v>
      </c>
      <c r="C74">
        <v>5118135323.7276001</v>
      </c>
      <c r="D74">
        <v>73</v>
      </c>
      <c r="E74" t="s">
        <v>357</v>
      </c>
    </row>
    <row r="75" spans="1:5">
      <c r="A75" t="s">
        <v>308</v>
      </c>
      <c r="B75" t="s">
        <v>279</v>
      </c>
      <c r="C75">
        <v>5106356898.3499002</v>
      </c>
      <c r="D75">
        <v>74</v>
      </c>
      <c r="E75" t="s">
        <v>280</v>
      </c>
    </row>
    <row r="76" spans="1:5">
      <c r="A76" t="s">
        <v>201</v>
      </c>
      <c r="B76" t="s">
        <v>200</v>
      </c>
      <c r="C76">
        <v>4854588000.4657993</v>
      </c>
      <c r="D76">
        <v>75</v>
      </c>
      <c r="E76" t="s">
        <v>199</v>
      </c>
    </row>
    <row r="77" spans="1:5">
      <c r="A77" s="2" t="s">
        <v>500</v>
      </c>
      <c r="B77" t="s">
        <v>470</v>
      </c>
      <c r="C77">
        <v>4700822304.1750002</v>
      </c>
      <c r="D77">
        <v>76</v>
      </c>
      <c r="E77" t="s">
        <v>469</v>
      </c>
    </row>
    <row r="78" spans="1:5">
      <c r="A78" t="s">
        <v>348</v>
      </c>
      <c r="B78" t="s">
        <v>327</v>
      </c>
      <c r="C78">
        <v>4470290751.3044996</v>
      </c>
      <c r="D78">
        <v>77</v>
      </c>
      <c r="E78" t="s">
        <v>328</v>
      </c>
    </row>
    <row r="79" spans="1:5">
      <c r="A79" s="2" t="s">
        <v>28</v>
      </c>
      <c r="B79" t="s">
        <v>26</v>
      </c>
      <c r="C79" s="2">
        <v>4399729460.0819998</v>
      </c>
      <c r="D79">
        <v>78</v>
      </c>
      <c r="E79" t="s">
        <v>66</v>
      </c>
    </row>
    <row r="80" spans="1:5">
      <c r="A80" t="s">
        <v>220</v>
      </c>
      <c r="B80" t="s">
        <v>203</v>
      </c>
      <c r="C80">
        <v>4313707927.2810001</v>
      </c>
      <c r="D80">
        <v>79</v>
      </c>
      <c r="E80" t="s">
        <v>202</v>
      </c>
    </row>
    <row r="81" spans="1:5">
      <c r="A81" t="s">
        <v>239</v>
      </c>
      <c r="B81" t="s">
        <v>238</v>
      </c>
      <c r="C81">
        <v>4291562256.5036001</v>
      </c>
      <c r="D81">
        <v>80</v>
      </c>
      <c r="E81" t="s">
        <v>237</v>
      </c>
    </row>
    <row r="82" spans="1:5">
      <c r="A82" t="s">
        <v>350</v>
      </c>
      <c r="B82" t="s">
        <v>332</v>
      </c>
      <c r="C82">
        <v>4257806709.8628998</v>
      </c>
      <c r="D82">
        <v>81</v>
      </c>
      <c r="E82" t="s">
        <v>331</v>
      </c>
    </row>
    <row r="83" spans="1:5">
      <c r="A83" t="s">
        <v>507</v>
      </c>
      <c r="B83" t="s">
        <v>484</v>
      </c>
      <c r="C83">
        <v>4206414959.5545001</v>
      </c>
      <c r="D83">
        <v>82</v>
      </c>
      <c r="E83" t="s">
        <v>483</v>
      </c>
    </row>
    <row r="84" spans="1:5">
      <c r="A84" s="2" t="s">
        <v>38</v>
      </c>
      <c r="B84" t="s">
        <v>37</v>
      </c>
      <c r="C84" s="2">
        <v>4196511762.8175998</v>
      </c>
      <c r="D84">
        <v>83</v>
      </c>
      <c r="E84" t="s">
        <v>65</v>
      </c>
    </row>
    <row r="85" spans="1:5">
      <c r="A85" t="s">
        <v>499</v>
      </c>
      <c r="B85" t="s">
        <v>467</v>
      </c>
      <c r="C85">
        <v>4190718025.4104004</v>
      </c>
      <c r="D85">
        <v>84</v>
      </c>
      <c r="E85" t="s">
        <v>466</v>
      </c>
    </row>
    <row r="86" spans="1:5">
      <c r="A86" t="s">
        <v>92</v>
      </c>
      <c r="B86" t="s">
        <v>93</v>
      </c>
      <c r="C86">
        <v>4127094592.1054001</v>
      </c>
      <c r="D86">
        <v>85</v>
      </c>
      <c r="E86" t="s">
        <v>94</v>
      </c>
    </row>
    <row r="87" spans="1:5">
      <c r="A87" t="s">
        <v>221</v>
      </c>
      <c r="B87" t="s">
        <v>207</v>
      </c>
      <c r="C87">
        <v>4102604456.5632</v>
      </c>
      <c r="D87">
        <v>86</v>
      </c>
      <c r="E87" t="s">
        <v>206</v>
      </c>
    </row>
    <row r="88" spans="1:5">
      <c r="A88" t="s">
        <v>501</v>
      </c>
      <c r="B88" t="s">
        <v>471</v>
      </c>
      <c r="C88">
        <v>4057384749.1134</v>
      </c>
      <c r="D88">
        <v>87</v>
      </c>
      <c r="E88" t="s">
        <v>472</v>
      </c>
    </row>
    <row r="89" spans="1:5">
      <c r="A89" t="s">
        <v>415</v>
      </c>
      <c r="B89" t="s">
        <v>423</v>
      </c>
      <c r="C89">
        <v>4035220687.9384003</v>
      </c>
      <c r="D89">
        <v>88</v>
      </c>
      <c r="E89" t="s">
        <v>424</v>
      </c>
    </row>
    <row r="90" spans="1:5">
      <c r="A90" t="s">
        <v>138</v>
      </c>
      <c r="B90" t="s">
        <v>132</v>
      </c>
      <c r="C90">
        <v>3868956422.8922</v>
      </c>
      <c r="D90">
        <v>89</v>
      </c>
      <c r="E90" t="s">
        <v>139</v>
      </c>
    </row>
    <row r="91" spans="1:5">
      <c r="A91" t="s">
        <v>306</v>
      </c>
      <c r="B91" t="s">
        <v>276</v>
      </c>
      <c r="C91">
        <v>3829870487.5446997</v>
      </c>
      <c r="D91">
        <v>90</v>
      </c>
      <c r="E91" t="s">
        <v>275</v>
      </c>
    </row>
    <row r="92" spans="1:5">
      <c r="A92" t="s">
        <v>195</v>
      </c>
      <c r="B92" t="s">
        <v>194</v>
      </c>
      <c r="C92">
        <v>3811546153.526</v>
      </c>
      <c r="D92">
        <v>91</v>
      </c>
      <c r="E92" t="s">
        <v>193</v>
      </c>
    </row>
    <row r="93" spans="1:5">
      <c r="A93" t="s">
        <v>121</v>
      </c>
      <c r="B93" t="s">
        <v>122</v>
      </c>
      <c r="C93">
        <v>3807691184.8271999</v>
      </c>
      <c r="D93">
        <v>92</v>
      </c>
      <c r="E93" t="s">
        <v>123</v>
      </c>
    </row>
    <row r="94" spans="1:5">
      <c r="A94" t="s">
        <v>105</v>
      </c>
      <c r="B94" t="s">
        <v>106</v>
      </c>
      <c r="C94">
        <v>3728592653.3257999</v>
      </c>
      <c r="D94">
        <v>93</v>
      </c>
      <c r="E94" t="s">
        <v>107</v>
      </c>
    </row>
    <row r="95" spans="1:5">
      <c r="A95" t="s">
        <v>414</v>
      </c>
      <c r="B95" t="s">
        <v>390</v>
      </c>
      <c r="C95">
        <v>3716486483.9556999</v>
      </c>
      <c r="D95">
        <v>94</v>
      </c>
      <c r="E95" t="s">
        <v>443</v>
      </c>
    </row>
    <row r="96" spans="1:5">
      <c r="A96" t="s">
        <v>322</v>
      </c>
      <c r="B96" t="s">
        <v>285</v>
      </c>
      <c r="C96">
        <v>3626978509.2021999</v>
      </c>
      <c r="D96">
        <v>95</v>
      </c>
      <c r="E96" t="s">
        <v>321</v>
      </c>
    </row>
    <row r="97" spans="1:5">
      <c r="A97" t="s">
        <v>236</v>
      </c>
      <c r="B97" t="s">
        <v>234</v>
      </c>
      <c r="C97">
        <v>3478884140.9013996</v>
      </c>
      <c r="D97">
        <v>96</v>
      </c>
      <c r="E97" t="s">
        <v>235</v>
      </c>
    </row>
    <row r="98" spans="1:5">
      <c r="A98" t="s">
        <v>309</v>
      </c>
      <c r="B98" t="s">
        <v>281</v>
      </c>
      <c r="C98">
        <v>3383348659.7035999</v>
      </c>
      <c r="D98">
        <v>97</v>
      </c>
      <c r="E98" t="s">
        <v>282</v>
      </c>
    </row>
    <row r="99" spans="1:5">
      <c r="A99" t="s">
        <v>258</v>
      </c>
      <c r="B99" t="s">
        <v>254</v>
      </c>
      <c r="C99">
        <v>3368354873.9716997</v>
      </c>
      <c r="D99">
        <v>98</v>
      </c>
      <c r="E99" t="s">
        <v>253</v>
      </c>
    </row>
    <row r="100" spans="1:5">
      <c r="A100" s="2" t="s">
        <v>16</v>
      </c>
      <c r="B100" t="s">
        <v>13</v>
      </c>
      <c r="C100" s="2">
        <v>3353029276.2480001</v>
      </c>
      <c r="D100">
        <v>99</v>
      </c>
      <c r="E100" t="s">
        <v>76</v>
      </c>
    </row>
    <row r="101" spans="1:5">
      <c r="A101" t="s">
        <v>108</v>
      </c>
      <c r="B101" t="s">
        <v>109</v>
      </c>
      <c r="C101">
        <v>3348569236.941</v>
      </c>
      <c r="D101">
        <v>100</v>
      </c>
      <c r="E101" t="s">
        <v>217</v>
      </c>
    </row>
    <row r="102" spans="1:5">
      <c r="A102" s="2" t="s">
        <v>30</v>
      </c>
      <c r="B102" t="s">
        <v>25</v>
      </c>
      <c r="C102" s="2">
        <v>3239613579.0021</v>
      </c>
      <c r="D102">
        <v>101</v>
      </c>
      <c r="E102" t="s">
        <v>75</v>
      </c>
    </row>
    <row r="103" spans="1:5">
      <c r="A103" t="s">
        <v>265</v>
      </c>
      <c r="B103" t="s">
        <v>259</v>
      </c>
      <c r="C103">
        <v>3185300322.7813001</v>
      </c>
      <c r="D103">
        <v>102</v>
      </c>
      <c r="E103" t="s">
        <v>260</v>
      </c>
    </row>
    <row r="104" spans="1:5">
      <c r="A104" t="s">
        <v>54</v>
      </c>
      <c r="B104" s="2" t="s">
        <v>53</v>
      </c>
      <c r="C104" s="2">
        <v>3141501720.9945998</v>
      </c>
      <c r="D104">
        <v>103</v>
      </c>
      <c r="E104" t="s">
        <v>189</v>
      </c>
    </row>
    <row r="105" spans="1:5">
      <c r="A105" t="s">
        <v>218</v>
      </c>
      <c r="B105" t="s">
        <v>214</v>
      </c>
      <c r="C105">
        <v>2956117826.652</v>
      </c>
      <c r="D105">
        <v>104</v>
      </c>
      <c r="E105" t="s">
        <v>219</v>
      </c>
    </row>
    <row r="106" spans="1:5">
      <c r="A106" t="s">
        <v>317</v>
      </c>
      <c r="B106" t="s">
        <v>298</v>
      </c>
      <c r="C106">
        <v>2932478294.4049997</v>
      </c>
      <c r="D106">
        <v>105</v>
      </c>
      <c r="E106" t="s">
        <v>299</v>
      </c>
    </row>
    <row r="107" spans="1:5">
      <c r="A107" t="s">
        <v>412</v>
      </c>
      <c r="B107" t="s">
        <v>442</v>
      </c>
      <c r="C107">
        <v>2928192077.9200001</v>
      </c>
      <c r="D107">
        <v>106</v>
      </c>
      <c r="E107" t="s">
        <v>441</v>
      </c>
    </row>
    <row r="108" spans="1:5">
      <c r="A108" s="2" t="s">
        <v>497</v>
      </c>
      <c r="B108" t="s">
        <v>463</v>
      </c>
      <c r="C108">
        <v>2865350401.5044003</v>
      </c>
      <c r="D108">
        <v>107</v>
      </c>
      <c r="E108" t="s">
        <v>462</v>
      </c>
    </row>
    <row r="109" spans="1:5">
      <c r="A109" t="s">
        <v>496</v>
      </c>
      <c r="B109" t="s">
        <v>460</v>
      </c>
      <c r="C109">
        <v>2750838443.2515001</v>
      </c>
      <c r="D109">
        <v>108</v>
      </c>
      <c r="E109" t="s">
        <v>461</v>
      </c>
    </row>
    <row r="110" spans="1:5">
      <c r="A110" t="s">
        <v>502</v>
      </c>
      <c r="B110" t="s">
        <v>474</v>
      </c>
      <c r="C110">
        <v>2695747926.7512002</v>
      </c>
      <c r="D110">
        <v>109</v>
      </c>
      <c r="E110" t="s">
        <v>473</v>
      </c>
    </row>
    <row r="111" spans="1:5">
      <c r="A111" t="s">
        <v>409</v>
      </c>
      <c r="B111" t="s">
        <v>385</v>
      </c>
      <c r="C111">
        <v>2432547667.7126002</v>
      </c>
      <c r="D111">
        <v>110</v>
      </c>
      <c r="E111" t="s">
        <v>439</v>
      </c>
    </row>
    <row r="112" spans="1:5">
      <c r="A112" t="s">
        <v>349</v>
      </c>
      <c r="B112" t="s">
        <v>329</v>
      </c>
      <c r="C112">
        <v>2366510601.7227001</v>
      </c>
      <c r="D112">
        <v>111</v>
      </c>
      <c r="E112" t="s">
        <v>330</v>
      </c>
    </row>
    <row r="113" spans="1:5">
      <c r="A113" t="s">
        <v>417</v>
      </c>
      <c r="B113" t="s">
        <v>393</v>
      </c>
      <c r="C113">
        <v>2255516362.6478</v>
      </c>
      <c r="D113">
        <v>112</v>
      </c>
      <c r="E113" t="s">
        <v>445</v>
      </c>
    </row>
    <row r="114" spans="1:5">
      <c r="A114" t="s">
        <v>511</v>
      </c>
      <c r="B114" t="s">
        <v>489</v>
      </c>
      <c r="C114">
        <v>2239884145.7549996</v>
      </c>
      <c r="D114">
        <v>113</v>
      </c>
      <c r="E114" t="s">
        <v>489</v>
      </c>
    </row>
    <row r="115" spans="1:5">
      <c r="A115" s="2" t="s">
        <v>14</v>
      </c>
      <c r="B115" t="s">
        <v>12</v>
      </c>
      <c r="C115" s="2">
        <v>2145595127.7774</v>
      </c>
      <c r="D115">
        <v>114</v>
      </c>
      <c r="E115" t="s">
        <v>69</v>
      </c>
    </row>
    <row r="116" spans="1:5">
      <c r="A116" t="s">
        <v>192</v>
      </c>
      <c r="B116" t="s">
        <v>191</v>
      </c>
      <c r="C116">
        <v>2129197390.1214001</v>
      </c>
      <c r="D116">
        <v>115</v>
      </c>
      <c r="E116" t="s">
        <v>190</v>
      </c>
    </row>
    <row r="117" spans="1:5">
      <c r="A117" t="s">
        <v>420</v>
      </c>
      <c r="B117" t="s">
        <v>447</v>
      </c>
      <c r="C117">
        <v>2112335541.2664001</v>
      </c>
      <c r="D117">
        <v>116</v>
      </c>
      <c r="E117" t="s">
        <v>446</v>
      </c>
    </row>
    <row r="118" spans="1:5">
      <c r="A118" s="2" t="s">
        <v>506</v>
      </c>
      <c r="B118" s="57" t="s">
        <v>481</v>
      </c>
      <c r="C118">
        <v>1990608406.7679999</v>
      </c>
      <c r="D118">
        <v>117</v>
      </c>
      <c r="E118" t="s">
        <v>482</v>
      </c>
    </row>
    <row r="119" spans="1:5">
      <c r="A119" t="s">
        <v>372</v>
      </c>
      <c r="B119" t="s">
        <v>369</v>
      </c>
      <c r="C119">
        <v>1938471404.7499998</v>
      </c>
      <c r="D119">
        <v>118</v>
      </c>
      <c r="E119" t="s">
        <v>370</v>
      </c>
    </row>
    <row r="120" spans="1:5">
      <c r="A120" t="s">
        <v>354</v>
      </c>
      <c r="B120" t="s">
        <v>341</v>
      </c>
      <c r="C120">
        <v>1869950306.7788</v>
      </c>
      <c r="D120">
        <v>119</v>
      </c>
      <c r="E120" t="s">
        <v>340</v>
      </c>
    </row>
    <row r="121" spans="1:5">
      <c r="A121" t="s">
        <v>256</v>
      </c>
      <c r="B121" t="s">
        <v>250</v>
      </c>
      <c r="C121">
        <v>1849513988.5125</v>
      </c>
      <c r="D121">
        <v>120</v>
      </c>
      <c r="E121" t="s">
        <v>249</v>
      </c>
    </row>
    <row r="122" spans="1:5">
      <c r="A122" t="s">
        <v>494</v>
      </c>
      <c r="B122" t="s">
        <v>456</v>
      </c>
      <c r="C122">
        <v>1796551881.9619999</v>
      </c>
      <c r="D122">
        <v>121</v>
      </c>
      <c r="E122" t="s">
        <v>468</v>
      </c>
    </row>
    <row r="123" spans="1:5">
      <c r="A123" t="s">
        <v>403</v>
      </c>
      <c r="B123" t="s">
        <v>379</v>
      </c>
      <c r="C123">
        <v>1525901554.4428</v>
      </c>
      <c r="D123">
        <v>122</v>
      </c>
      <c r="E123" t="s">
        <v>434</v>
      </c>
    </row>
    <row r="124" spans="1:5">
      <c r="A124" t="s">
        <v>311</v>
      </c>
      <c r="B124" t="s">
        <v>287</v>
      </c>
      <c r="C124">
        <v>1486730015.5172999</v>
      </c>
      <c r="D124">
        <v>123</v>
      </c>
      <c r="E124" t="s">
        <v>286</v>
      </c>
    </row>
    <row r="125" spans="1:5">
      <c r="A125" t="s">
        <v>498</v>
      </c>
      <c r="B125" t="s">
        <v>464</v>
      </c>
      <c r="C125">
        <v>1394722952.6473999</v>
      </c>
      <c r="D125">
        <v>124</v>
      </c>
      <c r="E125" t="s">
        <v>465</v>
      </c>
    </row>
    <row r="126" spans="1:5">
      <c r="A126" s="2" t="s">
        <v>22</v>
      </c>
      <c r="B126" t="s">
        <v>17</v>
      </c>
      <c r="C126" s="2">
        <v>1331423324.7199998</v>
      </c>
      <c r="D126">
        <v>125</v>
      </c>
      <c r="E126" t="s">
        <v>77</v>
      </c>
    </row>
    <row r="127" spans="1:5">
      <c r="A127" t="s">
        <v>273</v>
      </c>
      <c r="B127" t="s">
        <v>271</v>
      </c>
      <c r="C127">
        <v>1327945788.0380001</v>
      </c>
      <c r="D127">
        <v>126</v>
      </c>
      <c r="E127" t="s">
        <v>272</v>
      </c>
    </row>
    <row r="128" spans="1:5">
      <c r="A128" t="s">
        <v>413</v>
      </c>
      <c r="B128" t="s">
        <v>389</v>
      </c>
      <c r="C128">
        <v>1265515081.7720001</v>
      </c>
      <c r="D128">
        <v>127</v>
      </c>
      <c r="E128" t="s">
        <v>428</v>
      </c>
    </row>
    <row r="129" spans="1:5">
      <c r="A129" t="s">
        <v>356</v>
      </c>
      <c r="B129" t="s">
        <v>344</v>
      </c>
      <c r="C129">
        <v>1241078362.1605999</v>
      </c>
      <c r="D129">
        <v>128</v>
      </c>
      <c r="E129" t="s">
        <v>345</v>
      </c>
    </row>
    <row r="130" spans="1:5">
      <c r="A130" s="2" t="s">
        <v>35</v>
      </c>
      <c r="B130" t="s">
        <v>36</v>
      </c>
      <c r="C130" s="2">
        <v>1213748641.6956</v>
      </c>
      <c r="D130">
        <v>129</v>
      </c>
      <c r="E130" t="s">
        <v>70</v>
      </c>
    </row>
    <row r="131" spans="1:5">
      <c r="A131" t="s">
        <v>347</v>
      </c>
      <c r="B131" t="s">
        <v>325</v>
      </c>
      <c r="C131">
        <v>1142152452.8915</v>
      </c>
      <c r="D131">
        <v>130</v>
      </c>
      <c r="E131" t="s">
        <v>326</v>
      </c>
    </row>
    <row r="132" spans="1:5">
      <c r="A132" t="s">
        <v>402</v>
      </c>
      <c r="B132" t="s">
        <v>378</v>
      </c>
      <c r="C132">
        <v>1132125631.4520001</v>
      </c>
      <c r="D132">
        <v>131</v>
      </c>
      <c r="E132" t="s">
        <v>433</v>
      </c>
    </row>
    <row r="133" spans="1:5">
      <c r="A133" t="s">
        <v>399</v>
      </c>
      <c r="B133" t="s">
        <v>375</v>
      </c>
      <c r="C133">
        <v>1106324839.3673999</v>
      </c>
      <c r="D133">
        <v>132</v>
      </c>
      <c r="E133" t="s">
        <v>426</v>
      </c>
    </row>
    <row r="134" spans="1:5">
      <c r="A134" s="2" t="s">
        <v>34</v>
      </c>
      <c r="B134" t="s">
        <v>33</v>
      </c>
      <c r="C134" s="2">
        <v>1102630117.6880999</v>
      </c>
      <c r="D134">
        <v>133</v>
      </c>
      <c r="E134" t="s">
        <v>80</v>
      </c>
    </row>
    <row r="135" spans="1:5">
      <c r="A135" s="2" t="s">
        <v>58</v>
      </c>
      <c r="B135" t="s">
        <v>57</v>
      </c>
      <c r="C135" s="2">
        <v>1021690031.8821</v>
      </c>
      <c r="D135">
        <v>134</v>
      </c>
      <c r="E135" t="s">
        <v>140</v>
      </c>
    </row>
    <row r="136" spans="1:5">
      <c r="A136" t="s">
        <v>508</v>
      </c>
      <c r="B136" t="s">
        <v>486</v>
      </c>
      <c r="C136">
        <v>969336646.18650007</v>
      </c>
      <c r="D136">
        <v>135</v>
      </c>
      <c r="E136" t="s">
        <v>485</v>
      </c>
    </row>
    <row r="137" spans="1:5">
      <c r="A137" t="s">
        <v>401</v>
      </c>
      <c r="B137" t="s">
        <v>377</v>
      </c>
      <c r="C137">
        <v>847057262.3447001</v>
      </c>
      <c r="D137">
        <v>136</v>
      </c>
      <c r="E137" t="s">
        <v>427</v>
      </c>
    </row>
    <row r="138" spans="1:5">
      <c r="A138" t="s">
        <v>510</v>
      </c>
      <c r="B138" t="s">
        <v>488</v>
      </c>
      <c r="C138">
        <v>794298456.88749993</v>
      </c>
      <c r="D138">
        <v>137</v>
      </c>
      <c r="E138" t="s">
        <v>491</v>
      </c>
    </row>
    <row r="139" spans="1:5">
      <c r="A139" s="2" t="s">
        <v>39</v>
      </c>
      <c r="B139" s="2" t="s">
        <v>40</v>
      </c>
      <c r="C139" s="2">
        <v>759902075.62319994</v>
      </c>
      <c r="D139">
        <v>138</v>
      </c>
      <c r="E139" t="s">
        <v>72</v>
      </c>
    </row>
    <row r="140" spans="1:5">
      <c r="A140" s="2" t="s">
        <v>495</v>
      </c>
      <c r="B140" t="s">
        <v>459</v>
      </c>
      <c r="C140">
        <v>649647067.22959995</v>
      </c>
      <c r="D140">
        <v>139</v>
      </c>
      <c r="E140" t="s">
        <v>458</v>
      </c>
    </row>
    <row r="141" spans="1:5">
      <c r="A141" t="s">
        <v>255</v>
      </c>
      <c r="B141" t="s">
        <v>248</v>
      </c>
      <c r="C141">
        <v>604183657.78079998</v>
      </c>
      <c r="D141">
        <v>140</v>
      </c>
      <c r="E141" t="s">
        <v>247</v>
      </c>
    </row>
    <row r="142" spans="1:5">
      <c r="A142" s="2" t="s">
        <v>21</v>
      </c>
      <c r="B142" t="s">
        <v>19</v>
      </c>
      <c r="C142" s="2">
        <v>580786984.93970001</v>
      </c>
      <c r="D142">
        <v>141</v>
      </c>
      <c r="E142" t="s">
        <v>78</v>
      </c>
    </row>
    <row r="143" spans="1:5">
      <c r="A143" t="s">
        <v>115</v>
      </c>
      <c r="B143" t="s">
        <v>116</v>
      </c>
      <c r="C143">
        <v>527906828.296</v>
      </c>
      <c r="D143">
        <v>142</v>
      </c>
      <c r="E143" t="s">
        <v>117</v>
      </c>
    </row>
    <row r="144" spans="1:5">
      <c r="A144" t="s">
        <v>422</v>
      </c>
      <c r="B144" t="s">
        <v>398</v>
      </c>
      <c r="C144">
        <v>517403615.79259998</v>
      </c>
      <c r="D144">
        <v>143</v>
      </c>
      <c r="E144" t="s">
        <v>449</v>
      </c>
    </row>
    <row r="145" spans="1:5">
      <c r="A145" t="s">
        <v>364</v>
      </c>
      <c r="B145" t="s">
        <v>362</v>
      </c>
      <c r="C145">
        <v>492001389.79849994</v>
      </c>
      <c r="D145">
        <v>144</v>
      </c>
      <c r="E145" t="s">
        <v>361</v>
      </c>
    </row>
    <row r="146" spans="1:5">
      <c r="A146" s="2" t="s">
        <v>52</v>
      </c>
      <c r="B146" t="s">
        <v>51</v>
      </c>
      <c r="C146" s="2">
        <v>469065199.20859998</v>
      </c>
      <c r="D146">
        <v>145</v>
      </c>
      <c r="E146" t="s">
        <v>79</v>
      </c>
    </row>
    <row r="147" spans="1:5">
      <c r="A147" t="s">
        <v>451</v>
      </c>
      <c r="B147" t="s">
        <v>452</v>
      </c>
      <c r="C147">
        <v>420803322.36800003</v>
      </c>
      <c r="D147">
        <v>146</v>
      </c>
      <c r="E147" t="s">
        <v>450</v>
      </c>
    </row>
    <row r="148" spans="1:5">
      <c r="A148" t="s">
        <v>411</v>
      </c>
      <c r="B148" t="s">
        <v>387</v>
      </c>
      <c r="C148">
        <v>359758568.75</v>
      </c>
      <c r="D148">
        <v>147</v>
      </c>
      <c r="E148" t="s">
        <v>429</v>
      </c>
    </row>
    <row r="149" spans="1:5">
      <c r="A149" t="s">
        <v>504</v>
      </c>
      <c r="B149" t="s">
        <v>478</v>
      </c>
      <c r="C149">
        <v>337703033.8994</v>
      </c>
      <c r="D149">
        <v>148</v>
      </c>
      <c r="E149" t="s">
        <v>477</v>
      </c>
    </row>
    <row r="150" spans="1:5">
      <c r="A150" t="s">
        <v>266</v>
      </c>
      <c r="B150" t="s">
        <v>262</v>
      </c>
      <c r="C150">
        <v>305511629.04049999</v>
      </c>
      <c r="D150">
        <v>149</v>
      </c>
      <c r="E150" t="s">
        <v>261</v>
      </c>
    </row>
    <row r="151" spans="1:5">
      <c r="A151" s="2" t="s">
        <v>246</v>
      </c>
      <c r="B151" t="s">
        <v>244</v>
      </c>
      <c r="C151">
        <v>177863342.80399999</v>
      </c>
      <c r="D151">
        <v>150</v>
      </c>
      <c r="E151" t="s">
        <v>245</v>
      </c>
    </row>
    <row r="152" spans="1:5">
      <c r="A152" t="s">
        <v>404</v>
      </c>
      <c r="B152" t="s">
        <v>380</v>
      </c>
      <c r="C152">
        <v>148124412.28799999</v>
      </c>
      <c r="D152">
        <v>151</v>
      </c>
      <c r="E152" t="s">
        <v>430</v>
      </c>
    </row>
    <row r="153" spans="1:5">
      <c r="A153" s="2" t="s">
        <v>509</v>
      </c>
      <c r="B153" t="s">
        <v>487</v>
      </c>
      <c r="C153">
        <v>142155519.26660001</v>
      </c>
      <c r="D153">
        <v>152</v>
      </c>
      <c r="E153" t="s">
        <v>490</v>
      </c>
    </row>
    <row r="154" spans="1:5">
      <c r="A154" t="s">
        <v>505</v>
      </c>
      <c r="B154" t="s">
        <v>479</v>
      </c>
      <c r="C154">
        <v>110573424.7911</v>
      </c>
      <c r="D154">
        <v>153</v>
      </c>
      <c r="E154" t="s">
        <v>480</v>
      </c>
    </row>
    <row r="155" spans="1:5">
      <c r="A155" t="s">
        <v>493</v>
      </c>
      <c r="B155" t="s">
        <v>454</v>
      </c>
      <c r="C155">
        <v>75546610.181500003</v>
      </c>
      <c r="D155">
        <v>154</v>
      </c>
      <c r="E155" t="s">
        <v>455</v>
      </c>
    </row>
    <row r="156" spans="1:5">
      <c r="A156" t="s">
        <v>313</v>
      </c>
      <c r="B156" t="s">
        <v>290</v>
      </c>
      <c r="C156">
        <v>64459702.43</v>
      </c>
      <c r="D156">
        <v>155</v>
      </c>
      <c r="E156" t="s">
        <v>291</v>
      </c>
    </row>
    <row r="157" spans="1:5">
      <c r="A157" s="2" t="s">
        <v>314</v>
      </c>
      <c r="B157" t="s">
        <v>292</v>
      </c>
      <c r="C157">
        <v>28923114.09</v>
      </c>
      <c r="D157">
        <v>156</v>
      </c>
      <c r="E157" t="s">
        <v>293</v>
      </c>
    </row>
    <row r="158" spans="1:5">
      <c r="A158" t="s">
        <v>418</v>
      </c>
      <c r="B158" t="s">
        <v>394</v>
      </c>
      <c r="C158">
        <v>25166723.607000001</v>
      </c>
      <c r="D158">
        <v>157</v>
      </c>
      <c r="E158" t="s">
        <v>431</v>
      </c>
    </row>
    <row r="159" spans="1:5">
      <c r="A159" s="2" t="s">
        <v>503</v>
      </c>
      <c r="B159" t="s">
        <v>475</v>
      </c>
      <c r="C159">
        <v>19536751.506000001</v>
      </c>
      <c r="D159">
        <v>158</v>
      </c>
      <c r="E159" t="s">
        <v>476</v>
      </c>
    </row>
    <row r="160" spans="1:5">
      <c r="A160" s="2"/>
    </row>
  </sheetData>
  <autoFilter ref="A1:E138" xr:uid="{F35CEFC1-B3C5-47E8-B313-C5CF74631A2D}">
    <sortState xmlns:xlrd2="http://schemas.microsoft.com/office/spreadsheetml/2017/richdata2" ref="A2:E159">
      <sortCondition descending="1" ref="C1:C138"/>
    </sortState>
  </autoFilter>
  <conditionalFormatting sqref="E2:E114">
    <cfRule type="duplicateValues" dxfId="41" priority="27"/>
  </conditionalFormatting>
  <conditionalFormatting sqref="B156:B159 B115:B153">
    <cfRule type="duplicateValues" dxfId="40" priority="26"/>
  </conditionalFormatting>
  <conditionalFormatting sqref="E131">
    <cfRule type="duplicateValues" dxfId="39" priority="24"/>
  </conditionalFormatting>
  <conditionalFormatting sqref="E135">
    <cfRule type="duplicateValues" dxfId="38" priority="23"/>
  </conditionalFormatting>
  <conditionalFormatting sqref="E115">
    <cfRule type="duplicateValues" dxfId="37" priority="22"/>
  </conditionalFormatting>
  <conditionalFormatting sqref="E117">
    <cfRule type="duplicateValues" dxfId="36" priority="21"/>
  </conditionalFormatting>
  <conditionalFormatting sqref="E129">
    <cfRule type="duplicateValues" dxfId="35" priority="20"/>
  </conditionalFormatting>
  <conditionalFormatting sqref="E127">
    <cfRule type="duplicateValues" dxfId="34" priority="19"/>
  </conditionalFormatting>
  <conditionalFormatting sqref="E120">
    <cfRule type="duplicateValues" dxfId="33" priority="18"/>
  </conditionalFormatting>
  <conditionalFormatting sqref="E134">
    <cfRule type="duplicateValues" dxfId="32" priority="17"/>
  </conditionalFormatting>
  <conditionalFormatting sqref="E116">
    <cfRule type="duplicateValues" dxfId="31" priority="16"/>
  </conditionalFormatting>
  <conditionalFormatting sqref="E118">
    <cfRule type="duplicateValues" dxfId="30" priority="15"/>
  </conditionalFormatting>
  <conditionalFormatting sqref="E119">
    <cfRule type="duplicateValues" dxfId="29" priority="14"/>
  </conditionalFormatting>
  <conditionalFormatting sqref="E121">
    <cfRule type="duplicateValues" dxfId="28" priority="13"/>
  </conditionalFormatting>
  <conditionalFormatting sqref="E122">
    <cfRule type="duplicateValues" dxfId="27" priority="12"/>
  </conditionalFormatting>
  <conditionalFormatting sqref="E123">
    <cfRule type="duplicateValues" dxfId="26" priority="11"/>
  </conditionalFormatting>
  <conditionalFormatting sqref="E124">
    <cfRule type="duplicateValues" dxfId="25" priority="10"/>
  </conditionalFormatting>
  <conditionalFormatting sqref="E125">
    <cfRule type="duplicateValues" dxfId="24" priority="9"/>
  </conditionalFormatting>
  <conditionalFormatting sqref="E126">
    <cfRule type="duplicateValues" dxfId="23" priority="8"/>
  </conditionalFormatting>
  <conditionalFormatting sqref="E128">
    <cfRule type="duplicateValues" dxfId="22" priority="7"/>
  </conditionalFormatting>
  <conditionalFormatting sqref="E130">
    <cfRule type="duplicateValues" dxfId="21" priority="6"/>
  </conditionalFormatting>
  <conditionalFormatting sqref="E132:E133">
    <cfRule type="duplicateValues" dxfId="20" priority="5"/>
  </conditionalFormatting>
  <conditionalFormatting sqref="E136">
    <cfRule type="duplicateValues" dxfId="19" priority="4"/>
  </conditionalFormatting>
  <conditionalFormatting sqref="E137">
    <cfRule type="duplicateValues" dxfId="18" priority="3"/>
  </conditionalFormatting>
  <conditionalFormatting sqref="E138">
    <cfRule type="duplicateValues" dxfId="17" priority="2"/>
  </conditionalFormatting>
  <conditionalFormatting sqref="A115:A160">
    <cfRule type="duplicateValues" dxfId="12" priority="35"/>
  </conditionalFormatting>
  <conditionalFormatting sqref="A2:A160">
    <cfRule type="duplicateValues" dxfId="11" priority="37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D5"/>
  <sheetViews>
    <sheetView workbookViewId="0">
      <selection activeCell="B11" sqref="B11"/>
    </sheetView>
  </sheetViews>
  <sheetFormatPr defaultRowHeight="15"/>
  <cols>
    <col min="1" max="1" width="26.5703125" bestFit="1" customWidth="1"/>
    <col min="2" max="4" width="15.140625" bestFit="1" customWidth="1"/>
  </cols>
  <sheetData>
    <row r="1" spans="1:4">
      <c r="A1" s="4" t="s">
        <v>365</v>
      </c>
    </row>
    <row r="2" spans="1:4">
      <c r="A2" s="49">
        <v>49490625280020</v>
      </c>
    </row>
    <row r="4" spans="1:4">
      <c r="A4" s="50">
        <v>45673</v>
      </c>
      <c r="B4" s="4">
        <v>45707</v>
      </c>
      <c r="C4" s="4">
        <v>45716</v>
      </c>
      <c r="D4" s="4">
        <v>45747</v>
      </c>
    </row>
    <row r="5" spans="1:4">
      <c r="A5" s="49">
        <v>23657877458589</v>
      </c>
      <c r="B5" s="49">
        <v>36048693738115</v>
      </c>
      <c r="C5" s="49">
        <v>38264633667438</v>
      </c>
      <c r="D5" s="49">
        <v>49490625280020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F160"/>
  <sheetViews>
    <sheetView topLeftCell="AD115" zoomScale="70" zoomScaleNormal="70" workbookViewId="0">
      <selection activeCell="BC146" sqref="BC146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customWidth="1"/>
    <col min="5" max="6" width="13" customWidth="1"/>
    <col min="7" max="7" width="12.85546875" customWidth="1"/>
    <col min="8" max="9" width="13" customWidth="1"/>
    <col min="10" max="10" width="12.85546875" customWidth="1"/>
    <col min="11" max="12" width="13" customWidth="1"/>
    <col min="13" max="13" width="12.85546875" customWidth="1"/>
    <col min="14" max="15" width="13" customWidth="1"/>
    <col min="16" max="16" width="12.85546875" customWidth="1"/>
    <col min="17" max="18" width="13" customWidth="1"/>
    <col min="19" max="19" width="12.85546875" customWidth="1"/>
    <col min="20" max="21" width="13" customWidth="1"/>
    <col min="22" max="22" width="12.85546875" customWidth="1"/>
    <col min="23" max="24" width="13" customWidth="1"/>
    <col min="25" max="25" width="12.85546875" customWidth="1"/>
    <col min="26" max="27" width="13" customWidth="1"/>
    <col min="28" max="28" width="12.85546875" customWidth="1"/>
    <col min="29" max="30" width="13" customWidth="1"/>
    <col min="31" max="31" width="12.85546875" customWidth="1"/>
    <col min="32" max="33" width="13" customWidth="1"/>
    <col min="34" max="34" width="12.85546875" customWidth="1"/>
    <col min="35" max="36" width="13" customWidth="1"/>
    <col min="37" max="37" width="12.85546875" customWidth="1"/>
    <col min="38" max="39" width="13" customWidth="1"/>
    <col min="40" max="40" width="12.85546875" customWidth="1"/>
    <col min="41" max="42" width="13" customWidth="1"/>
    <col min="43" max="43" width="12.85546875" customWidth="1"/>
    <col min="44" max="45" width="13" customWidth="1"/>
    <col min="46" max="46" width="12.85546875" bestFit="1" customWidth="1"/>
    <col min="47" max="48" width="13" bestFit="1" customWidth="1"/>
    <col min="49" max="49" width="18.140625" bestFit="1" customWidth="1"/>
    <col min="50" max="50" width="14.85546875" bestFit="1" customWidth="1"/>
    <col min="51" max="51" width="19.28515625" bestFit="1" customWidth="1"/>
    <col min="52" max="52" width="13.85546875" bestFit="1" customWidth="1"/>
    <col min="53" max="54" width="14.85546875" bestFit="1" customWidth="1"/>
    <col min="55" max="55" width="13.85546875" bestFit="1" customWidth="1"/>
    <col min="56" max="57" width="14.85546875" bestFit="1" customWidth="1"/>
    <col min="58" max="58" width="13.85546875" bestFit="1" customWidth="1"/>
  </cols>
  <sheetData>
    <row r="1" spans="1:58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/>
      <c r="BF1" s="4"/>
    </row>
    <row r="2" spans="1:58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  <c r="AT2" t="s">
        <v>144</v>
      </c>
      <c r="AU2" t="s">
        <v>147</v>
      </c>
      <c r="AV2" t="s">
        <v>148</v>
      </c>
      <c r="AW2" t="s">
        <v>144</v>
      </c>
      <c r="AX2" t="s">
        <v>147</v>
      </c>
      <c r="AY2" t="s">
        <v>148</v>
      </c>
      <c r="AZ2" t="s">
        <v>144</v>
      </c>
      <c r="BA2" t="s">
        <v>147</v>
      </c>
      <c r="BB2" t="s">
        <v>148</v>
      </c>
    </row>
    <row r="3" spans="1:58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D3" s="58"/>
    </row>
    <row r="4" spans="1:58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D4" s="58"/>
    </row>
    <row r="5" spans="1:58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D5" s="58"/>
    </row>
    <row r="6" spans="1:58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D6" s="58"/>
    </row>
    <row r="7" spans="1:58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D7" s="58"/>
    </row>
    <row r="8" spans="1:58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D8" s="58"/>
    </row>
    <row r="9" spans="1:58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D9" s="58"/>
    </row>
    <row r="10" spans="1:58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D10" s="58"/>
    </row>
    <row r="11" spans="1:58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D11" s="58"/>
    </row>
    <row r="12" spans="1:58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D12" s="58"/>
    </row>
    <row r="13" spans="1:58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D13" s="58"/>
    </row>
    <row r="14" spans="1:58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D14" s="58"/>
    </row>
    <row r="15" spans="1:58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D15" s="58"/>
    </row>
    <row r="16" spans="1:58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D16" s="58"/>
    </row>
    <row r="17" spans="2:56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D17" s="58"/>
    </row>
    <row r="18" spans="2:56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D18" s="58"/>
    </row>
    <row r="19" spans="2:56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D19" s="58"/>
    </row>
    <row r="20" spans="2:56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D20" s="58"/>
    </row>
    <row r="21" spans="2:56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D21" s="58"/>
    </row>
    <row r="22" spans="2:56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D22" s="58"/>
    </row>
    <row r="23" spans="2:56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D23" s="58"/>
    </row>
    <row r="24" spans="2:56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D24" s="58"/>
    </row>
    <row r="25" spans="2:56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D25" s="58"/>
    </row>
    <row r="26" spans="2:56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T26">
        <v>238414439</v>
      </c>
      <c r="AU26">
        <v>855407165.6881001</v>
      </c>
      <c r="AV26">
        <f>SUM($AT$26+$AU$26)</f>
        <v>1093821604.6881001</v>
      </c>
      <c r="AW26">
        <v>238414439</v>
      </c>
      <c r="AX26">
        <v>855407165.6881001</v>
      </c>
      <c r="AY26">
        <f>SUM($AW$26+$AX$26)</f>
        <v>1093821604.6881001</v>
      </c>
      <c r="AZ26">
        <v>238414439</v>
      </c>
      <c r="BA26">
        <v>855407165.6881001</v>
      </c>
      <c r="BB26">
        <f>SUM($AZ$26+$BA$26)</f>
        <v>1093821604.6881001</v>
      </c>
      <c r="BD26" s="58"/>
    </row>
    <row r="27" spans="2:56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T27">
        <v>793254379</v>
      </c>
      <c r="AU27">
        <v>4883194631.6861</v>
      </c>
      <c r="AV27">
        <f>SUM($AT$27+$AU$27)</f>
        <v>5676449010.6861</v>
      </c>
      <c r="AW27">
        <v>950576134</v>
      </c>
      <c r="AX27">
        <v>6745858592.5443993</v>
      </c>
      <c r="AY27">
        <f>SUM($AW$27+$AX$27)</f>
        <v>7696434726.5443993</v>
      </c>
      <c r="AZ27">
        <v>1079145090</v>
      </c>
      <c r="BA27">
        <v>8581361755.6800003</v>
      </c>
      <c r="BB27">
        <f>SUM($AZ$27+$BA$27)</f>
        <v>9660506845.6800003</v>
      </c>
      <c r="BD27" s="58"/>
    </row>
    <row r="28" spans="2:56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T28">
        <v>904423819</v>
      </c>
      <c r="AU28">
        <v>7537015895.6365004</v>
      </c>
      <c r="AV28">
        <f>SUM($AT$28+$AU$28)</f>
        <v>8441439714.6365004</v>
      </c>
      <c r="AW28">
        <v>1135512519</v>
      </c>
      <c r="AX28">
        <v>11447896562.802299</v>
      </c>
      <c r="AY28">
        <f>SUM($AW$28+$AX$28)</f>
        <v>12583409081.802299</v>
      </c>
      <c r="AZ28">
        <v>1137717519</v>
      </c>
      <c r="BA28">
        <v>11525533554.4776</v>
      </c>
      <c r="BB28">
        <f>SUM($AZ$28+$BA$28)</f>
        <v>12663251073.4776</v>
      </c>
      <c r="BD28" s="58"/>
    </row>
    <row r="29" spans="2:56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T29">
        <v>1224676113</v>
      </c>
      <c r="AU29">
        <v>11252079191.0214</v>
      </c>
      <c r="AV29">
        <f>SUM($AT$29+$AU$29)</f>
        <v>12476755304.0214</v>
      </c>
      <c r="AW29">
        <v>1391659023</v>
      </c>
      <c r="AX29">
        <v>14242377607.2843</v>
      </c>
      <c r="AY29">
        <f>SUM($AW$29+$AX$29)</f>
        <v>15634036630.2843</v>
      </c>
      <c r="AZ29">
        <v>1439836628</v>
      </c>
      <c r="BA29">
        <v>15366800395.9928</v>
      </c>
      <c r="BB29">
        <f>SUM($AZ$29+$BA$29)</f>
        <v>16806637023.9928</v>
      </c>
      <c r="BD29" s="58"/>
    </row>
    <row r="30" spans="2:56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T30">
        <v>1230167942</v>
      </c>
      <c r="AU30">
        <v>12535534345.7742</v>
      </c>
      <c r="AV30">
        <f>SUM($AT$30+$AU$30)</f>
        <v>13765702287.7742</v>
      </c>
      <c r="AW30">
        <v>1372184659</v>
      </c>
      <c r="AX30">
        <v>15249636989.330599</v>
      </c>
      <c r="AY30">
        <f>SUM($AW$30+$AX$30)</f>
        <v>16621821648.330599</v>
      </c>
      <c r="AZ30">
        <v>1390804659</v>
      </c>
      <c r="BA30">
        <v>15727775405.835598</v>
      </c>
      <c r="BB30">
        <f>SUM($AZ$30+$BA$30)</f>
        <v>17118580064.835598</v>
      </c>
      <c r="BD30" s="58"/>
    </row>
    <row r="31" spans="2:56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T31">
        <v>589333879</v>
      </c>
      <c r="AU31">
        <v>4241789527.4903998</v>
      </c>
      <c r="AV31">
        <f>SUM($AT$31+$AU$31)</f>
        <v>4831123406.4904003</v>
      </c>
      <c r="AW31">
        <v>738090514</v>
      </c>
      <c r="AX31">
        <v>6052563641.9541998</v>
      </c>
      <c r="AY31">
        <f>SUM($AW$31+$AX$31)</f>
        <v>6790654155.9541998</v>
      </c>
      <c r="AZ31">
        <v>764343624</v>
      </c>
      <c r="BA31">
        <v>6500360350.3080006</v>
      </c>
      <c r="BB31">
        <f>SUM($AZ$31+$BA$31)</f>
        <v>7264703974.3080006</v>
      </c>
      <c r="BD31" s="58"/>
    </row>
    <row r="32" spans="2:56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T32">
        <v>530969792</v>
      </c>
      <c r="AU32">
        <v>3399640287.2384</v>
      </c>
      <c r="AV32">
        <f>SUM($AT$32+$AU$32)</f>
        <v>3930610079.2384</v>
      </c>
      <c r="AW32">
        <v>548991552</v>
      </c>
      <c r="AX32">
        <v>3558178945.9776001</v>
      </c>
      <c r="AY32">
        <f>SUM($AW$32+$AX$32)</f>
        <v>4107170497.9776001</v>
      </c>
      <c r="AZ32">
        <v>552891552</v>
      </c>
      <c r="BA32">
        <v>3608336135.8175998</v>
      </c>
      <c r="BB32">
        <f>SUM($AZ$32+$BA$32)</f>
        <v>4161227687.8175998</v>
      </c>
      <c r="BD32" s="58"/>
    </row>
    <row r="33" spans="2:56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T33">
        <v>599553543</v>
      </c>
      <c r="AU33">
        <v>4168875650.5419002</v>
      </c>
      <c r="AV33">
        <f>SUM($AT$33+$AU$33)</f>
        <v>4768429193.5419006</v>
      </c>
      <c r="AW33">
        <v>627453652</v>
      </c>
      <c r="AX33">
        <v>4467783729.066</v>
      </c>
      <c r="AY33">
        <f>SUM($AW$33+$AX$33)</f>
        <v>5095237381.066</v>
      </c>
      <c r="AZ33">
        <v>629731777</v>
      </c>
      <c r="BA33">
        <v>4478211585.7800999</v>
      </c>
      <c r="BB33">
        <f>SUM($AZ$33+$BA$33)</f>
        <v>5107943362.7800999</v>
      </c>
      <c r="BD33" s="58"/>
    </row>
    <row r="34" spans="2:56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T34">
        <v>970769449</v>
      </c>
      <c r="AU34">
        <v>8224844156.6525002</v>
      </c>
      <c r="AV34">
        <f>SUM($AT$34+$AU$34)</f>
        <v>9195613605.6525002</v>
      </c>
      <c r="AW34">
        <v>1198285014</v>
      </c>
      <c r="AX34">
        <v>12239043475.9932</v>
      </c>
      <c r="AY34">
        <f>SUM($AW$34+$AX$34)</f>
        <v>13437328489.9932</v>
      </c>
      <c r="AZ34">
        <v>1230041069</v>
      </c>
      <c r="BA34">
        <v>12678525314.6106</v>
      </c>
      <c r="BB34">
        <f>SUM($AZ$34+$BA$34)</f>
        <v>13908566383.6106</v>
      </c>
      <c r="BD34" s="58"/>
    </row>
    <row r="35" spans="2:56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T35">
        <v>1203531203</v>
      </c>
      <c r="AU35">
        <v>10717565715.8353</v>
      </c>
      <c r="AV35">
        <f>SUM($AT$35+$AU$35)</f>
        <v>11921096918.8353</v>
      </c>
      <c r="AW35">
        <v>1237646848</v>
      </c>
      <c r="AX35">
        <v>11174094567.168001</v>
      </c>
      <c r="AY35">
        <f>SUM($AW$35+$AX$35)</f>
        <v>12411741415.168001</v>
      </c>
      <c r="AZ35">
        <v>1237646848</v>
      </c>
      <c r="BA35">
        <v>11174094567.168001</v>
      </c>
      <c r="BB35">
        <f>SUM($AZ$35+$BA$35)</f>
        <v>12411741415.168001</v>
      </c>
      <c r="BD35" s="58"/>
    </row>
    <row r="36" spans="2:56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T36">
        <v>140456434</v>
      </c>
      <c r="AU36">
        <v>470641419.04719996</v>
      </c>
      <c r="AV36">
        <f>SUM($AT$36+$AU$36)</f>
        <v>611097853.04719996</v>
      </c>
      <c r="AW36">
        <v>153365578</v>
      </c>
      <c r="AX36">
        <v>566440425.7852</v>
      </c>
      <c r="AY36">
        <f>SUM($AW$36+$AX$36)</f>
        <v>719806003.7852</v>
      </c>
      <c r="AZ36">
        <v>160100313</v>
      </c>
      <c r="BA36">
        <v>599799812.62319994</v>
      </c>
      <c r="BB36">
        <f>SUM($AZ$36+$BA$36)</f>
        <v>759900125.62319994</v>
      </c>
      <c r="BD36" s="58"/>
    </row>
    <row r="37" spans="2:56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T37">
        <v>513890777</v>
      </c>
      <c r="AU37">
        <v>3183861697.9811997</v>
      </c>
      <c r="AV37">
        <f>SUM($AT$37+$AU$37)</f>
        <v>3697752474.9811997</v>
      </c>
      <c r="AW37">
        <v>674774461</v>
      </c>
      <c r="AX37">
        <v>4800008128.3234997</v>
      </c>
      <c r="AY37">
        <f>SUM($AW$37+$AX$37)</f>
        <v>5474782589.3234997</v>
      </c>
      <c r="AZ37">
        <v>740762141</v>
      </c>
      <c r="BA37">
        <v>5576531473.6620998</v>
      </c>
      <c r="BB37">
        <f>SUM($AZ$37+$BA$37)</f>
        <v>6317293614.6620998</v>
      </c>
      <c r="BD37" s="58"/>
    </row>
    <row r="38" spans="2:56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T38">
        <v>165955759</v>
      </c>
      <c r="AU38">
        <v>409628599.93970001</v>
      </c>
      <c r="AV38">
        <f>SUM($AT$38+$AU$38)</f>
        <v>575584358.93970001</v>
      </c>
      <c r="AW38">
        <v>165955759</v>
      </c>
      <c r="AX38">
        <v>409628599.93970001</v>
      </c>
      <c r="AY38">
        <f>SUM($AW$38+$AX$38)</f>
        <v>575584358.93970001</v>
      </c>
      <c r="AZ38">
        <v>165955759</v>
      </c>
      <c r="BA38">
        <v>409628599.93970001</v>
      </c>
      <c r="BB38">
        <f>SUM($AZ$38+$BA$38)</f>
        <v>575584358.93970001</v>
      </c>
      <c r="BD38" s="58"/>
    </row>
    <row r="39" spans="2:56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T39">
        <v>459370529</v>
      </c>
      <c r="AU39">
        <v>2199374218.7462001</v>
      </c>
      <c r="AV39">
        <f>SUM($AT$39+$AU$39)</f>
        <v>2658744747.7462001</v>
      </c>
      <c r="AW39">
        <v>503374159</v>
      </c>
      <c r="AX39">
        <v>2558449500.5334001</v>
      </c>
      <c r="AY39">
        <f>SUM($AW$39+$AX$39)</f>
        <v>3061823659.5334001</v>
      </c>
      <c r="AZ39">
        <v>531852634</v>
      </c>
      <c r="BA39">
        <v>2785046317.941</v>
      </c>
      <c r="BB39">
        <f>SUM($AZ$39+$BA$39)</f>
        <v>3316898951.941</v>
      </c>
      <c r="BD39" s="58"/>
    </row>
    <row r="40" spans="2:56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T40">
        <v>404299344</v>
      </c>
      <c r="AU40">
        <v>1985797087.9248002</v>
      </c>
      <c r="AV40">
        <f>SUM($AT$40+$AU$40)</f>
        <v>2390096431.9247999</v>
      </c>
      <c r="AW40">
        <v>467085139</v>
      </c>
      <c r="AX40">
        <v>2589426593.5882001</v>
      </c>
      <c r="AY40">
        <f>SUM($AW$40+$AX$40)</f>
        <v>3056511732.5882001</v>
      </c>
      <c r="AZ40">
        <v>488082809</v>
      </c>
      <c r="BA40">
        <v>2834296871.8630004</v>
      </c>
      <c r="BB40">
        <f>SUM($AZ$40+$BA$40)</f>
        <v>3322379680.8630004</v>
      </c>
      <c r="BD40" s="58"/>
    </row>
    <row r="41" spans="2:56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T41">
        <v>504957193</v>
      </c>
      <c r="AU41">
        <v>2554073482.1940002</v>
      </c>
      <c r="AV41">
        <f>SUM($AT$41+$AU$41)</f>
        <v>3059030675.1940002</v>
      </c>
      <c r="AW41">
        <v>507205098</v>
      </c>
      <c r="AX41">
        <v>2603585209.0536003</v>
      </c>
      <c r="AY41">
        <f>SUM($AW$41+$AX$41)</f>
        <v>3110790307.0536003</v>
      </c>
      <c r="AZ41">
        <v>509035098</v>
      </c>
      <c r="BA41">
        <v>2615269622.9945998</v>
      </c>
      <c r="BB41">
        <f>SUM($AZ$41+$BA$41)</f>
        <v>3124304720.9945998</v>
      </c>
      <c r="BD41" s="58"/>
    </row>
    <row r="42" spans="2:56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T42">
        <v>492079091</v>
      </c>
      <c r="AU42">
        <v>2307260441.8807998</v>
      </c>
      <c r="AV42">
        <f>SUM($AT$42+$AU$42)</f>
        <v>2799339532.8807998</v>
      </c>
      <c r="AW42">
        <v>573926731</v>
      </c>
      <c r="AX42">
        <v>3138059187.0886998</v>
      </c>
      <c r="AY42">
        <f>SUM($AW$42+$AX$42)</f>
        <v>3711985918.0886998</v>
      </c>
      <c r="AZ42">
        <v>588054326</v>
      </c>
      <c r="BA42">
        <v>3272345907.8922</v>
      </c>
      <c r="BB42">
        <f>SUM($AZ$42+$BA$42)</f>
        <v>3860400233.8922</v>
      </c>
      <c r="BD42" s="58"/>
    </row>
    <row r="43" spans="2:56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T43">
        <v>204439891</v>
      </c>
      <c r="AU43">
        <v>655413846.55689991</v>
      </c>
      <c r="AV43">
        <f>SUM($AT$43+$AU$43)</f>
        <v>859853737.55689991</v>
      </c>
      <c r="AW43">
        <v>221074687</v>
      </c>
      <c r="AX43">
        <v>754063649.88829994</v>
      </c>
      <c r="AY43">
        <f>SUM($AW$43+$AX$43)</f>
        <v>975138336.88829994</v>
      </c>
      <c r="AZ43">
        <v>224929747</v>
      </c>
      <c r="BA43">
        <v>790470609.88209999</v>
      </c>
      <c r="BB43">
        <f>SUM($AZ$43+$BA$43)</f>
        <v>1015400356.8821</v>
      </c>
      <c r="BD43" s="58"/>
    </row>
    <row r="44" spans="2:56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T44">
        <v>617219472</v>
      </c>
      <c r="AU44">
        <v>4620072913.7615995</v>
      </c>
      <c r="AV44">
        <f>SUM($AT$44+$AU$44)</f>
        <v>5237292385.7615995</v>
      </c>
      <c r="AW44">
        <v>650878849</v>
      </c>
      <c r="AX44">
        <v>5066766400.0405006</v>
      </c>
      <c r="AY44">
        <f>SUM($AW$44+$AX$44)</f>
        <v>5717645249.0405006</v>
      </c>
      <c r="AZ44">
        <v>667721964</v>
      </c>
      <c r="BA44">
        <v>5323012724.8116007</v>
      </c>
      <c r="BB44">
        <f>SUM($AZ$44+$BA$44)</f>
        <v>5990734688.8116007</v>
      </c>
      <c r="BD44" s="58"/>
    </row>
    <row r="45" spans="2:56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T45">
        <v>1062169299</v>
      </c>
      <c r="AU45">
        <v>8845321054.3523998</v>
      </c>
      <c r="AV45">
        <f>SUM($AT$45+$AU$45)</f>
        <v>9907490353.3523998</v>
      </c>
      <c r="AW45">
        <v>1172164729</v>
      </c>
      <c r="AX45">
        <v>10439650725.8927</v>
      </c>
      <c r="AY45">
        <f>SUM($AW$45+$AX$45)</f>
        <v>11611815454.8927</v>
      </c>
      <c r="AZ45">
        <v>1207488434</v>
      </c>
      <c r="BA45">
        <v>11213703588.871199</v>
      </c>
      <c r="BB45">
        <f>SUM($AZ$45+$BA$45)</f>
        <v>12421192022.871199</v>
      </c>
      <c r="BD45" s="58"/>
    </row>
    <row r="46" spans="2:56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T46">
        <v>332861311</v>
      </c>
      <c r="AU46">
        <v>1501437515.5276999</v>
      </c>
      <c r="AV46">
        <f>SUM($AT$46+$AU$46)</f>
        <v>1834298826.5276999</v>
      </c>
      <c r="AW46">
        <v>335143901</v>
      </c>
      <c r="AX46">
        <v>1679037429.6199</v>
      </c>
      <c r="AY46">
        <f>SUM($AW$46+$AX$46)</f>
        <v>2014181330.6199</v>
      </c>
      <c r="AZ46">
        <v>344907651</v>
      </c>
      <c r="BA46">
        <v>1782275795.7774</v>
      </c>
      <c r="BB46">
        <f>SUM($AZ$46+$BA$46)</f>
        <v>2127183446.7774</v>
      </c>
      <c r="BD46" s="58"/>
    </row>
    <row r="47" spans="2:56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T47">
        <v>877748175</v>
      </c>
      <c r="AU47">
        <v>6849420108.7950001</v>
      </c>
      <c r="AV47">
        <f>SUM($AT$47+$AU$47)</f>
        <v>7727168283.7950001</v>
      </c>
      <c r="AW47">
        <v>1001546425</v>
      </c>
      <c r="AX47">
        <v>8780857971.9025002</v>
      </c>
      <c r="AY47">
        <f>SUM($AW$47+$AX$47)</f>
        <v>9782404396.9025002</v>
      </c>
      <c r="AZ47">
        <v>1022405175</v>
      </c>
      <c r="BA47">
        <v>9141835872.2624989</v>
      </c>
      <c r="BB47">
        <f>SUM($AZ$47+$BA$47)</f>
        <v>10164241047.262499</v>
      </c>
      <c r="BD47" s="58"/>
    </row>
    <row r="48" spans="2:56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T48">
        <v>1260636264</v>
      </c>
      <c r="AU48">
        <v>11302108361.2656</v>
      </c>
      <c r="AV48">
        <f>SUM($AT$48+$AU$48)</f>
        <v>12562744625.2656</v>
      </c>
      <c r="AW48">
        <v>1485534029</v>
      </c>
      <c r="AX48">
        <v>15140711376.970901</v>
      </c>
      <c r="AY48">
        <f>SUM($AW$48+$AX$48)</f>
        <v>16626245405.970901</v>
      </c>
      <c r="AZ48">
        <v>1533732164</v>
      </c>
      <c r="BA48">
        <v>16339462235.9576</v>
      </c>
      <c r="BB48">
        <f>SUM($AZ$48+$BA$48)</f>
        <v>17873194399.9576</v>
      </c>
      <c r="BD48" s="58"/>
    </row>
    <row r="49" spans="2:56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T49">
        <v>1691162984</v>
      </c>
      <c r="AU49">
        <v>20946575603.5256</v>
      </c>
      <c r="AV49">
        <f>SUM($AT$49+$AU$49)</f>
        <v>22637738587.5256</v>
      </c>
      <c r="AW49">
        <v>2053856614</v>
      </c>
      <c r="AX49">
        <v>29385758890.4664</v>
      </c>
      <c r="AY49">
        <f>SUM($AW$49+$AX$49)</f>
        <v>31439615504.4664</v>
      </c>
      <c r="AZ49">
        <v>2065423584</v>
      </c>
      <c r="BA49">
        <v>29715455645.366402</v>
      </c>
      <c r="BB49">
        <f>SUM($AZ$49+$BA$49)</f>
        <v>31780879229.366402</v>
      </c>
      <c r="BD49" s="58"/>
    </row>
    <row r="50" spans="2:56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T50">
        <v>469456948</v>
      </c>
      <c r="AU50">
        <v>2640413658.3312001</v>
      </c>
      <c r="AV50">
        <f>SUM($AT$50+$AU$50)</f>
        <v>3109870606.3312001</v>
      </c>
      <c r="AW50">
        <v>527673218</v>
      </c>
      <c r="AX50">
        <v>3181816737.2182002</v>
      </c>
      <c r="AY50">
        <f>SUM($AW$50+$AX$50)</f>
        <v>3709489955.2182002</v>
      </c>
      <c r="AZ50">
        <v>557149567</v>
      </c>
      <c r="BA50">
        <v>3552497069.1054001</v>
      </c>
      <c r="BB50">
        <f>SUM($AZ$50+$BA$50)</f>
        <v>4109646636.1054001</v>
      </c>
      <c r="BD50" s="58"/>
    </row>
    <row r="51" spans="2:56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T51">
        <v>2183487746</v>
      </c>
      <c r="AU51">
        <v>31921062405.097801</v>
      </c>
      <c r="AV51">
        <f>SUM($AT$51+$AU$51)</f>
        <v>34104550151.097801</v>
      </c>
      <c r="AW51">
        <v>2337561271</v>
      </c>
      <c r="AX51">
        <v>36115087880.822899</v>
      </c>
      <c r="AY51">
        <f>SUM($AW$51+$AX$51)</f>
        <v>38452649151.822899</v>
      </c>
      <c r="AZ51">
        <v>2405657976</v>
      </c>
      <c r="BA51">
        <v>38446263509.2416</v>
      </c>
      <c r="BB51">
        <f>SUM($AZ$51+$BA$51)</f>
        <v>40851921485.2416</v>
      </c>
      <c r="BD51" s="58"/>
    </row>
    <row r="52" spans="2:56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T52">
        <v>1370005733</v>
      </c>
      <c r="AU52">
        <v>14364099108.785101</v>
      </c>
      <c r="AV52">
        <f>SUM($AT$52+$AU$52)</f>
        <v>15734104841.785101</v>
      </c>
      <c r="AW52">
        <v>1692208363</v>
      </c>
      <c r="AX52">
        <v>21414896833.764999</v>
      </c>
      <c r="AY52">
        <f>SUM($AW$52+$AX$52)</f>
        <v>23107105196.764999</v>
      </c>
      <c r="AZ52">
        <v>1700234613</v>
      </c>
      <c r="BA52">
        <v>21815200249.0191</v>
      </c>
      <c r="BB52">
        <f>SUM($AZ$52+$BA$52)</f>
        <v>23515434862.0191</v>
      </c>
      <c r="BD52" s="58"/>
    </row>
    <row r="53" spans="2:56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T53">
        <v>236070807</v>
      </c>
      <c r="AU53">
        <v>879009649.86450005</v>
      </c>
      <c r="AV53">
        <f>SUM($AT$53+$AU$53)</f>
        <v>1115080456.8645</v>
      </c>
      <c r="AW53">
        <v>251123569</v>
      </c>
      <c r="AX53">
        <v>937921417.85810006</v>
      </c>
      <c r="AY53">
        <f>SUM($AW$53+$AX$53)</f>
        <v>1189044986.8580999</v>
      </c>
      <c r="AZ53">
        <v>251898569</v>
      </c>
      <c r="BA53">
        <v>950262161.69560003</v>
      </c>
      <c r="BB53">
        <f>SUM($AZ$53+$BA$53)</f>
        <v>1202160730.6956</v>
      </c>
      <c r="BD53" s="58"/>
    </row>
    <row r="54" spans="2:56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T54">
        <v>151232435</v>
      </c>
      <c r="AU54">
        <v>296778530.44400001</v>
      </c>
      <c r="AV54">
        <f>SUM($AT$54+$AU$54)</f>
        <v>448010965.44400001</v>
      </c>
      <c r="AW54">
        <v>161890915</v>
      </c>
      <c r="AX54">
        <v>350688100.07300001</v>
      </c>
      <c r="AY54">
        <f>SUM($AW$54+$AX$54)</f>
        <v>512579015.07300001</v>
      </c>
      <c r="AZ54">
        <v>163428880</v>
      </c>
      <c r="BA54">
        <v>358187076.296</v>
      </c>
      <c r="BB54">
        <f>SUM($AZ$54+$BA$54)</f>
        <v>521615956.296</v>
      </c>
      <c r="BD54" s="58"/>
    </row>
    <row r="55" spans="2:56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T55">
        <v>1515202059</v>
      </c>
      <c r="AU55">
        <v>17385731465.3778</v>
      </c>
      <c r="AV55">
        <f>SUM($AT$55+$AU$55)</f>
        <v>18900933524.3778</v>
      </c>
      <c r="AW55">
        <v>1728941499</v>
      </c>
      <c r="AX55">
        <v>21508205141.7099</v>
      </c>
      <c r="AY55">
        <f>SUM($AW$55+$AX$55)</f>
        <v>23237146640.7099</v>
      </c>
      <c r="AZ55">
        <v>1765779624</v>
      </c>
      <c r="BA55">
        <v>22350532168.742401</v>
      </c>
      <c r="BB55">
        <f>SUM($AZ$55+$BA$55)</f>
        <v>24116311792.742401</v>
      </c>
      <c r="BD55" s="58"/>
    </row>
    <row r="56" spans="2:56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T56">
        <v>754987077</v>
      </c>
      <c r="AU56">
        <v>5946504714.5750999</v>
      </c>
      <c r="AV56">
        <f>SUM($AT$56+$AU$56)</f>
        <v>6701491791.5750999</v>
      </c>
      <c r="AW56">
        <v>915269292</v>
      </c>
      <c r="AX56">
        <v>8283278619.5291996</v>
      </c>
      <c r="AY56">
        <f>SUM($AW$56+$AX$56)</f>
        <v>9198547911.5291996</v>
      </c>
      <c r="AZ56">
        <v>929995347</v>
      </c>
      <c r="BA56">
        <v>8773297104.9939003</v>
      </c>
      <c r="BB56">
        <f>SUM($AZ$56+$BA$56)</f>
        <v>9703292451.9939003</v>
      </c>
      <c r="BD56" s="58"/>
    </row>
    <row r="57" spans="2:56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T57">
        <v>1274586156</v>
      </c>
      <c r="AU57">
        <v>13127982489.5688</v>
      </c>
      <c r="AV57">
        <f>SUM($AT$57+$AU$57)</f>
        <v>14402568645.5688</v>
      </c>
      <c r="AW57">
        <v>1451891941</v>
      </c>
      <c r="AX57">
        <v>16321733633.139702</v>
      </c>
      <c r="AY57">
        <f>SUM($AW$57+$AX$57)</f>
        <v>17773625574.139702</v>
      </c>
      <c r="AZ57">
        <v>1487254913</v>
      </c>
      <c r="BA57">
        <v>17122765813.368999</v>
      </c>
      <c r="BB57">
        <f>SUM($AZ$57+$BA$57)</f>
        <v>18610020726.368999</v>
      </c>
      <c r="BD57" s="58"/>
    </row>
    <row r="58" spans="2:56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T58">
        <v>678831744</v>
      </c>
      <c r="AU58">
        <v>4517150074.0991993</v>
      </c>
      <c r="AV58">
        <f>SUM($AT$58+$AU$58)</f>
        <v>5195981818.0991993</v>
      </c>
      <c r="AW58">
        <v>820507074</v>
      </c>
      <c r="AX58">
        <v>6405206422.4735994</v>
      </c>
      <c r="AY58">
        <f>SUM($AW$58+$AX$58)</f>
        <v>7225713496.4735994</v>
      </c>
      <c r="AZ58">
        <v>843603384</v>
      </c>
      <c r="BA58">
        <v>6785439458.8656006</v>
      </c>
      <c r="BB58">
        <f>SUM($AZ$58+$BA$58)</f>
        <v>7629042842.8656006</v>
      </c>
      <c r="BD58" s="58"/>
    </row>
    <row r="59" spans="2:56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T59">
        <v>1100382676</v>
      </c>
      <c r="AU59">
        <v>9881326392.2124004</v>
      </c>
      <c r="AV59">
        <f>SUM($AT$59+$AU$59)</f>
        <v>10981709068.2124</v>
      </c>
      <c r="AW59">
        <v>1162796606</v>
      </c>
      <c r="AX59">
        <v>11365290306.704599</v>
      </c>
      <c r="AY59">
        <f>SUM($AW$59+$AX$59)</f>
        <v>12528086912.704599</v>
      </c>
      <c r="AZ59">
        <v>1203817486</v>
      </c>
      <c r="BA59">
        <v>12091985501.624201</v>
      </c>
      <c r="BB59">
        <f>SUM($AZ$59+$BA$59)</f>
        <v>13295802987.624201</v>
      </c>
      <c r="BD59" s="58"/>
    </row>
    <row r="60" spans="2:56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T60">
        <v>746898007</v>
      </c>
      <c r="AU60">
        <v>5070317120.5194998</v>
      </c>
      <c r="AV60">
        <f>SUM($AT$60+$AU$60)</f>
        <v>5817215127.5194998</v>
      </c>
      <c r="AW60">
        <v>846955354</v>
      </c>
      <c r="AX60">
        <v>6623106172.7446003</v>
      </c>
      <c r="AY60">
        <f>SUM($AW$60+$AX$60)</f>
        <v>7470061526.7446003</v>
      </c>
      <c r="AZ60">
        <v>902454889</v>
      </c>
      <c r="BA60">
        <v>7223970895.4672003</v>
      </c>
      <c r="BB60">
        <f>SUM($AZ$60+$BA$60)</f>
        <v>8126425784.4672003</v>
      </c>
      <c r="BD60" s="58"/>
    </row>
    <row r="61" spans="2:56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T61">
        <v>603961244</v>
      </c>
      <c r="AU61">
        <v>3649858589.7408004</v>
      </c>
      <c r="AV61">
        <f>SUM($AT$61+$AU$61)</f>
        <v>4253819833.7408004</v>
      </c>
      <c r="AW61">
        <v>646641979</v>
      </c>
      <c r="AX61">
        <v>4181187036.2140002</v>
      </c>
      <c r="AY61">
        <f>SUM($AW$61+$AX$61)</f>
        <v>4827829015.2140007</v>
      </c>
      <c r="AZ61">
        <v>648423394</v>
      </c>
      <c r="BA61">
        <v>4205479606.4658003</v>
      </c>
      <c r="BB61">
        <f>SUM($AZ$61+$BA$61)</f>
        <v>4853903000.4658003</v>
      </c>
      <c r="BD61" s="58"/>
    </row>
    <row r="62" spans="2:56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T62">
        <v>1418288593</v>
      </c>
      <c r="AU62">
        <v>13470763227.454699</v>
      </c>
      <c r="AV62">
        <f>SUM($AT$62+$AU$62)</f>
        <v>14889051820.454699</v>
      </c>
      <c r="AW62">
        <v>1810280458</v>
      </c>
      <c r="AX62">
        <v>21306638934.568401</v>
      </c>
      <c r="AY62">
        <f>SUM($AW$62+$AX$62)</f>
        <v>23116919392.568401</v>
      </c>
      <c r="AZ62">
        <v>1888224158</v>
      </c>
      <c r="BA62">
        <v>22897927896.8186</v>
      </c>
      <c r="BB62">
        <f>SUM($AZ$62+$BA$62)</f>
        <v>24786152054.8186</v>
      </c>
      <c r="BD62" s="58"/>
    </row>
    <row r="63" spans="2:56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T63">
        <v>463493235</v>
      </c>
      <c r="AU63">
        <v>2258926979.4194999</v>
      </c>
      <c r="AV63">
        <f>SUM($AT$63+$AU$63)</f>
        <v>2722420214.4194999</v>
      </c>
      <c r="AW63">
        <v>513527989</v>
      </c>
      <c r="AX63">
        <v>3030225957.4912004</v>
      </c>
      <c r="AY63">
        <f>SUM($AW$63+$AX$63)</f>
        <v>3543753946.4912004</v>
      </c>
      <c r="AZ63">
        <v>529825989</v>
      </c>
      <c r="BA63">
        <v>3249952616.526</v>
      </c>
      <c r="BB63">
        <f>SUM($AZ$63+$BA$63)</f>
        <v>3779778605.526</v>
      </c>
      <c r="BD63" s="58"/>
    </row>
    <row r="64" spans="2:56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T64">
        <v>555794042</v>
      </c>
      <c r="AU64">
        <v>2945208207.9621997</v>
      </c>
      <c r="AV64">
        <f>SUM($AT$64+$AU$64)</f>
        <v>3501002249.9621997</v>
      </c>
      <c r="AW64">
        <v>612319332</v>
      </c>
      <c r="AX64">
        <v>3472646627.5716</v>
      </c>
      <c r="AY64">
        <f>SUM($AW$64+$AX$64)</f>
        <v>4084965959.5716</v>
      </c>
      <c r="AZ64">
        <v>625612277</v>
      </c>
      <c r="BA64">
        <v>3661708657.2809997</v>
      </c>
      <c r="BB64">
        <f>SUM($AZ$64+$BA$64)</f>
        <v>4287320934.2809997</v>
      </c>
      <c r="BD64" s="58"/>
    </row>
    <row r="65" spans="2:56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T65">
        <v>474697289</v>
      </c>
      <c r="AU65">
        <v>2557336705.0297003</v>
      </c>
      <c r="AV65">
        <f>SUM($AT$65+$AU$65)</f>
        <v>3032033994.0297003</v>
      </c>
      <c r="AW65">
        <v>540014584</v>
      </c>
      <c r="AX65">
        <v>3222375025.6448002</v>
      </c>
      <c r="AY65">
        <f>SUM($AW$65+$AX$65)</f>
        <v>3762389609.6448002</v>
      </c>
      <c r="AZ65">
        <v>566952739</v>
      </c>
      <c r="BA65">
        <v>3486079001.5632</v>
      </c>
      <c r="BB65">
        <f>SUM($AZ$65+$BA$65)</f>
        <v>4053031740.5632</v>
      </c>
      <c r="BD65" s="58"/>
    </row>
    <row r="66" spans="2:56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T66">
        <v>1119054619</v>
      </c>
      <c r="AU66">
        <v>10305485891.832899</v>
      </c>
      <c r="AV66">
        <f>SUM($AT$66+$AU$66)</f>
        <v>11424540510.832899</v>
      </c>
      <c r="AW66">
        <v>1302912036</v>
      </c>
      <c r="AX66">
        <v>13754581781.6448</v>
      </c>
      <c r="AY66">
        <f>SUM($AW$66+$AX$66)</f>
        <v>15057493817.6448</v>
      </c>
      <c r="AZ66">
        <v>1326361431</v>
      </c>
      <c r="BA66">
        <v>14301624765.9006</v>
      </c>
      <c r="BB66">
        <f>SUM($AZ$66+$BA$66)</f>
        <v>15627986196.9006</v>
      </c>
      <c r="BD66" s="58"/>
    </row>
    <row r="67" spans="2:56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T67">
        <v>264189510</v>
      </c>
      <c r="AU67">
        <v>691304690.81700003</v>
      </c>
      <c r="AV67">
        <f>SUM($AT$67+$AU$67)</f>
        <v>955494200.81700003</v>
      </c>
      <c r="AW67">
        <v>377558348</v>
      </c>
      <c r="AX67">
        <v>1389716767.3183999</v>
      </c>
      <c r="AY67">
        <f>SUM($AW$67+$AX$67)</f>
        <v>1767275115.3183999</v>
      </c>
      <c r="AZ67">
        <v>419510503</v>
      </c>
      <c r="BA67">
        <v>1709001887.1213999</v>
      </c>
      <c r="BB67">
        <f>SUM($AZ$67+$BA$67)</f>
        <v>2128512390.1213999</v>
      </c>
      <c r="BD67" s="58"/>
    </row>
    <row r="68" spans="2:56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T68">
        <v>910840477</v>
      </c>
      <c r="AU68">
        <v>8815660640.6921997</v>
      </c>
      <c r="AV68">
        <f>SUM($AT$68+$AU$68)</f>
        <v>9726501117.6921997</v>
      </c>
      <c r="AW68">
        <v>1103496894</v>
      </c>
      <c r="AX68">
        <v>12183378157.5858</v>
      </c>
      <c r="AY68">
        <f>SUM($AW$68+$AX$68)</f>
        <v>13286875051.5858</v>
      </c>
      <c r="AZ68">
        <v>1104756269</v>
      </c>
      <c r="BA68">
        <v>12220482420.7973</v>
      </c>
      <c r="BB68">
        <f>SUM($AZ$68+$BA$68)</f>
        <v>13325238689.7973</v>
      </c>
      <c r="BD68" s="58"/>
    </row>
    <row r="69" spans="2:56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T69">
        <v>621647720</v>
      </c>
      <c r="AU69">
        <v>3534005123.428</v>
      </c>
      <c r="AV69">
        <f>SUM($AT$69+$AU$69)</f>
        <v>4155652843.428</v>
      </c>
      <c r="AW69">
        <v>750809192</v>
      </c>
      <c r="AX69">
        <v>4881235799.9496002</v>
      </c>
      <c r="AY69">
        <f>SUM($AW$69+$AX$69)</f>
        <v>5632044991.9496002</v>
      </c>
      <c r="AZ69">
        <v>788429809</v>
      </c>
      <c r="BA69">
        <v>5334594930.6749001</v>
      </c>
      <c r="BB69">
        <f>SUM($AZ$69+$BA$69)</f>
        <v>6123024739.6749001</v>
      </c>
      <c r="BD69" s="58"/>
    </row>
    <row r="70" spans="2:56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T70">
        <v>402296261</v>
      </c>
      <c r="AU70">
        <v>2073113092.1852002</v>
      </c>
      <c r="AV70">
        <f>SUM($AT$70+$AU$70)</f>
        <v>2475409353.1852002</v>
      </c>
      <c r="AW70">
        <v>477811211</v>
      </c>
      <c r="AX70">
        <v>2732841221.3145003</v>
      </c>
      <c r="AY70">
        <f>SUM($AW$70+$AX$70)</f>
        <v>3210652432.3145003</v>
      </c>
      <c r="AZ70">
        <v>495938086</v>
      </c>
      <c r="BA70">
        <v>2968139850.9014001</v>
      </c>
      <c r="BB70">
        <f>SUM($AZ$70+$BA$70)</f>
        <v>3464077936.9014001</v>
      </c>
      <c r="BD70" s="58"/>
    </row>
    <row r="71" spans="2:56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T71">
        <v>465798967</v>
      </c>
      <c r="AU71">
        <v>2881898208.829</v>
      </c>
      <c r="AV71">
        <f>SUM($AT$71+$AU$71)</f>
        <v>3347697175.829</v>
      </c>
      <c r="AW71">
        <v>534025182</v>
      </c>
      <c r="AX71">
        <v>3687337076.6736002</v>
      </c>
      <c r="AY71">
        <f>SUM($AW$71+$AX$71)</f>
        <v>4221362258.6736002</v>
      </c>
      <c r="AZ71">
        <v>536850182</v>
      </c>
      <c r="BA71">
        <v>3741738398.5036001</v>
      </c>
      <c r="BB71">
        <f>SUM($AZ$71+$BA$71)</f>
        <v>4278588580.5036001</v>
      </c>
      <c r="BD71" s="58"/>
    </row>
    <row r="72" spans="2:56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T72">
        <v>2397424514</v>
      </c>
      <c r="AU72">
        <v>34025207672.493599</v>
      </c>
      <c r="AV72">
        <f>SUM($AT$72+$AU$72)</f>
        <v>36422632186.493599</v>
      </c>
      <c r="AW72">
        <v>2888286778</v>
      </c>
      <c r="AX72">
        <v>45001529801.984596</v>
      </c>
      <c r="AY72">
        <f>SUM($AW$72+$AX$72)</f>
        <v>47889816579.984596</v>
      </c>
      <c r="AZ72">
        <v>2912217563</v>
      </c>
      <c r="BA72">
        <v>45709875647.091698</v>
      </c>
      <c r="BB72">
        <f>SUM($AZ$72+$BA$72)</f>
        <v>48622093210.091698</v>
      </c>
      <c r="BD72" s="58"/>
    </row>
    <row r="73" spans="2:56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T73">
        <v>43966619</v>
      </c>
      <c r="AU73">
        <v>60823420.724600002</v>
      </c>
      <c r="AV73">
        <f>SUM($AT$73+$AU$73)</f>
        <v>104790039.7246</v>
      </c>
      <c r="AW73">
        <v>55285277</v>
      </c>
      <c r="AX73">
        <v>61753654.409000002</v>
      </c>
      <c r="AY73">
        <f>SUM($AW$73+$AX$73)</f>
        <v>117038931.40900001</v>
      </c>
      <c r="AZ73">
        <v>81644852</v>
      </c>
      <c r="BA73">
        <v>96095990.804000005</v>
      </c>
      <c r="BB73">
        <f>SUM($AZ$73+$BA$73)</f>
        <v>177740842.80400002</v>
      </c>
      <c r="BD73" s="58"/>
    </row>
    <row r="74" spans="2:56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T74">
        <v>176783761</v>
      </c>
      <c r="AU74">
        <v>413249719.71359998</v>
      </c>
      <c r="AV74">
        <f>SUM($AT$74+$AU$74)</f>
        <v>590033480.71359992</v>
      </c>
      <c r="AW74">
        <v>179189161</v>
      </c>
      <c r="AX74">
        <v>418012474.78079998</v>
      </c>
      <c r="AY74">
        <f>SUM($AW$74+$AX$74)</f>
        <v>597201635.78079998</v>
      </c>
      <c r="AZ74">
        <v>179189161</v>
      </c>
      <c r="BA74">
        <v>418012474.78079998</v>
      </c>
      <c r="BB74">
        <f>SUM($AZ$74+$BA$74)</f>
        <v>597201635.78079998</v>
      </c>
      <c r="BD74" s="58"/>
    </row>
    <row r="75" spans="2:56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T75">
        <v>288137953</v>
      </c>
      <c r="AU75">
        <v>1066081612.3047</v>
      </c>
      <c r="AV75">
        <f>SUM($AT$75+$AU$75)</f>
        <v>1354219565.3046999</v>
      </c>
      <c r="AW75">
        <v>331662375</v>
      </c>
      <c r="AX75">
        <v>1313747833.6125</v>
      </c>
      <c r="AY75">
        <f>SUM($AW$75+$AX$75)</f>
        <v>1645410208.6125</v>
      </c>
      <c r="AZ75">
        <v>355026555</v>
      </c>
      <c r="BA75">
        <v>1483123433.5125</v>
      </c>
      <c r="BB75">
        <f>SUM($AZ$75+$BA$75)</f>
        <v>1838149988.5125</v>
      </c>
      <c r="BD75" s="58"/>
    </row>
    <row r="76" spans="2:56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T76">
        <v>536440809</v>
      </c>
      <c r="AU76">
        <v>3989134787.9667001</v>
      </c>
      <c r="AV76">
        <f>SUM($AT$76+$AU$76)</f>
        <v>4525575596.9666996</v>
      </c>
      <c r="AW76">
        <v>680168846</v>
      </c>
      <c r="AX76">
        <v>6066357920.5894003</v>
      </c>
      <c r="AY76">
        <f>SUM($AW$76+$AX$76)</f>
        <v>6746526766.5894003</v>
      </c>
      <c r="AZ76">
        <v>689246071</v>
      </c>
      <c r="BA76">
        <v>6259388193.7865</v>
      </c>
      <c r="BB76">
        <f>SUM($AZ$76+$BA$76)</f>
        <v>6948634264.7865</v>
      </c>
      <c r="BD76" s="58"/>
    </row>
    <row r="77" spans="2:56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T77">
        <v>377186057</v>
      </c>
      <c r="AU77">
        <v>1694470642.4668</v>
      </c>
      <c r="AV77">
        <f>SUM($AT$77+$AU$77)</f>
        <v>2071656699.4668</v>
      </c>
      <c r="AW77">
        <v>481563022</v>
      </c>
      <c r="AX77">
        <v>2528254021.8021998</v>
      </c>
      <c r="AY77">
        <f>SUM($AW$77+$AX$77)</f>
        <v>3009817043.8021998</v>
      </c>
      <c r="AZ77">
        <v>514554119</v>
      </c>
      <c r="BA77">
        <v>2852842401.9716997</v>
      </c>
      <c r="BB77">
        <f>SUM($AZ$77+$BA$77)</f>
        <v>3367396520.9716997</v>
      </c>
      <c r="BD77" s="58"/>
    </row>
    <row r="78" spans="2:56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T78">
        <v>463101582</v>
      </c>
      <c r="AU78">
        <v>1646418744.3263998</v>
      </c>
      <c r="AV78">
        <f>SUM($AT$78+$AU$78)</f>
        <v>2109520326.3263998</v>
      </c>
      <c r="AW78">
        <v>556597827</v>
      </c>
      <c r="AX78">
        <v>2461052951.8632002</v>
      </c>
      <c r="AY78">
        <f>SUM($AW$78+$AX$78)</f>
        <v>3017650778.8632002</v>
      </c>
      <c r="AZ78">
        <v>570525327</v>
      </c>
      <c r="BA78">
        <v>2614089995.7813001</v>
      </c>
      <c r="BB78">
        <f>SUM($AZ$78+$BA$78)</f>
        <v>3184615322.7813001</v>
      </c>
      <c r="BD78" s="58"/>
    </row>
    <row r="79" spans="2:56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T79">
        <v>107481809</v>
      </c>
      <c r="AU79">
        <v>163254119.69009998</v>
      </c>
      <c r="AV79">
        <f>SUM($AT$79+$AU$79)</f>
        <v>270735928.69009995</v>
      </c>
      <c r="AW79">
        <v>95574599</v>
      </c>
      <c r="AX79">
        <v>195440497.49510002</v>
      </c>
      <c r="AY79">
        <f>SUM($AW$79+$AX$79)</f>
        <v>291015096.49510002</v>
      </c>
      <c r="AZ79">
        <v>96275015</v>
      </c>
      <c r="BA79">
        <v>202437474.04050002</v>
      </c>
      <c r="BB79">
        <f>SUM($AZ$79+$BA$79)</f>
        <v>298712489.04050004</v>
      </c>
      <c r="BD79" s="58"/>
    </row>
    <row r="80" spans="2:56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T80">
        <v>1480964581</v>
      </c>
      <c r="AU80">
        <v>13894113506.025799</v>
      </c>
      <c r="AV80">
        <f>SUM($AT$80+$AU$80)</f>
        <v>15375078087.025799</v>
      </c>
      <c r="AW80">
        <v>1765107571</v>
      </c>
      <c r="AX80">
        <v>20024439349.966602</v>
      </c>
      <c r="AY80">
        <f>SUM($AW$80+$AX$80)</f>
        <v>21789546920.966602</v>
      </c>
      <c r="AZ80">
        <v>1803289791</v>
      </c>
      <c r="BA80">
        <v>20944850264.506802</v>
      </c>
      <c r="BB80">
        <f>SUM($AZ$80+$BA$80)</f>
        <v>22748140055.506802</v>
      </c>
      <c r="BD80" s="58"/>
    </row>
    <row r="81" spans="2:56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T81">
        <v>1354041334</v>
      </c>
      <c r="AU81">
        <v>14201727127.525599</v>
      </c>
      <c r="AV81">
        <f>SUM($AT$81+$AU$81)</f>
        <v>15555768461.525599</v>
      </c>
      <c r="AW81">
        <v>1474314099</v>
      </c>
      <c r="AX81">
        <v>16007217898.482599</v>
      </c>
      <c r="AY81">
        <f>SUM($AW$81+$AX$81)</f>
        <v>17481531997.482597</v>
      </c>
      <c r="AZ81">
        <v>1479374099</v>
      </c>
      <c r="BA81">
        <v>16126065303.559399</v>
      </c>
      <c r="BB81">
        <f>SUM($AZ$81+$BA$81)</f>
        <v>17605439402.559399</v>
      </c>
      <c r="BD81" s="58"/>
    </row>
    <row r="82" spans="2:56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T82">
        <v>235343371</v>
      </c>
      <c r="AU82">
        <v>699840582.3427</v>
      </c>
      <c r="AV82">
        <f>SUM($AT$82+$AU$82)</f>
        <v>935183953.3427</v>
      </c>
      <c r="AW82">
        <v>278822150</v>
      </c>
      <c r="AX82">
        <v>934751257.875</v>
      </c>
      <c r="AY82">
        <f>SUM($AW$82+$AX$82)</f>
        <v>1213573407.875</v>
      </c>
      <c r="AZ82">
        <v>290916810</v>
      </c>
      <c r="BA82">
        <v>1029787324.0380001</v>
      </c>
      <c r="BB82">
        <f>SUM($AZ$82+$BA$82)</f>
        <v>1320704134.0380001</v>
      </c>
      <c r="BD82" s="58"/>
    </row>
    <row r="83" spans="2:56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T83">
        <v>555360111</v>
      </c>
      <c r="AU83">
        <v>2166626401.0443001</v>
      </c>
      <c r="AV83">
        <f>SUM($AT$83+$AU$83)</f>
        <v>2721986512.0443001</v>
      </c>
      <c r="AW83">
        <v>677504443</v>
      </c>
      <c r="AX83">
        <v>3132035289.5447001</v>
      </c>
      <c r="AY83">
        <f>SUM($AW$83+$AX$83)</f>
        <v>3809539732.5447001</v>
      </c>
      <c r="AZ83">
        <v>677504443</v>
      </c>
      <c r="BA83">
        <v>3132035289.5447001</v>
      </c>
      <c r="BB83">
        <f>SUM($AZ$83+$BA$83)</f>
        <v>3809539732.5447001</v>
      </c>
      <c r="BD83" s="58"/>
    </row>
    <row r="84" spans="2:56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T84">
        <v>723537632</v>
      </c>
      <c r="AU84">
        <v>4732876712.2016001</v>
      </c>
      <c r="AV84">
        <f>SUM($AT$84+$AU$84)</f>
        <v>5456414344.2016001</v>
      </c>
      <c r="AW84">
        <v>761966807</v>
      </c>
      <c r="AX84">
        <v>5083613946.2618999</v>
      </c>
      <c r="AY84">
        <f>SUM($AW$84+$AX$84)</f>
        <v>5845580753.2618999</v>
      </c>
      <c r="AZ84">
        <v>756461547</v>
      </c>
      <c r="BA84">
        <v>5190233966.2763996</v>
      </c>
      <c r="BB84">
        <f>SUM($AZ$84+$BA$84)</f>
        <v>5946695513.2763996</v>
      </c>
      <c r="BD84" s="58"/>
    </row>
    <row r="85" spans="2:56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T85">
        <v>559107684</v>
      </c>
      <c r="AU85">
        <v>3210731786.1384001</v>
      </c>
      <c r="AV85">
        <f>SUM($AT$85+$AU$85)</f>
        <v>3769839470.1384001</v>
      </c>
      <c r="AW85">
        <v>656456024</v>
      </c>
      <c r="AX85">
        <v>4329196187.0752001</v>
      </c>
      <c r="AY85">
        <f>SUM($AW$85+$AX$85)</f>
        <v>4985652211.0752001</v>
      </c>
      <c r="AZ85">
        <v>661607529</v>
      </c>
      <c r="BA85">
        <v>4428205352.3498993</v>
      </c>
      <c r="BB85">
        <f>SUM($AZ$85+$BA$85)</f>
        <v>5089812881.3498993</v>
      </c>
      <c r="BD85" s="58"/>
    </row>
    <row r="86" spans="2:56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T86">
        <v>414763543</v>
      </c>
      <c r="AU86">
        <v>1600406607.0197999</v>
      </c>
      <c r="AV86">
        <f>SUM($AT$86+$AU$86)</f>
        <v>2015170150.0197999</v>
      </c>
      <c r="AW86">
        <v>516079343</v>
      </c>
      <c r="AX86">
        <v>2375822863.4348001</v>
      </c>
      <c r="AY86">
        <f>SUM($AW$86+$AX$86)</f>
        <v>2891902206.4348001</v>
      </c>
      <c r="AZ86">
        <v>547153678</v>
      </c>
      <c r="BA86">
        <v>2766518426.7035999</v>
      </c>
      <c r="BB86">
        <f>SUM($AZ$86+$BA$86)</f>
        <v>3313672104.7035999</v>
      </c>
      <c r="BD86" s="58"/>
    </row>
    <row r="87" spans="2:56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T87">
        <v>633981430</v>
      </c>
      <c r="AU87">
        <v>3703973106.632</v>
      </c>
      <c r="AV87">
        <f>SUM($AT$87+$AU$87)</f>
        <v>4337954536.632</v>
      </c>
      <c r="AW87">
        <v>822317504</v>
      </c>
      <c r="AX87">
        <v>6146083256.6463995</v>
      </c>
      <c r="AY87">
        <f>SUM($AW$87+$AX$87)</f>
        <v>6968400760.6463995</v>
      </c>
      <c r="AZ87">
        <v>841546944</v>
      </c>
      <c r="BA87">
        <v>6433794696.2687998</v>
      </c>
      <c r="BB87">
        <f>SUM($AZ$87+$BA$87)</f>
        <v>7275341640.2687998</v>
      </c>
      <c r="BD87" s="58"/>
    </row>
    <row r="88" spans="2:56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T88">
        <v>179827607</v>
      </c>
      <c r="AU88">
        <v>542665769.64389992</v>
      </c>
      <c r="AV88">
        <f>SUM($AT$88+$AU$88)</f>
        <v>722493376.64389992</v>
      </c>
      <c r="AW88">
        <v>247928378</v>
      </c>
      <c r="AX88">
        <v>1004233895.089</v>
      </c>
      <c r="AY88">
        <f>SUM($AW$88+$AX$88)</f>
        <v>1252162273.089</v>
      </c>
      <c r="AZ88">
        <v>275478503</v>
      </c>
      <c r="BA88">
        <v>1209102697.5173001</v>
      </c>
      <c r="BB88">
        <f>SUM($AZ$88+$BA$88)</f>
        <v>1484581200.5173001</v>
      </c>
      <c r="BD88" s="58"/>
    </row>
    <row r="89" spans="2:56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T89">
        <v>1387488904</v>
      </c>
      <c r="AU89">
        <v>15253775512.795202</v>
      </c>
      <c r="AV89">
        <f>SUM($AT$89+$AU$89)</f>
        <v>16641264416.795202</v>
      </c>
      <c r="AW89">
        <v>1618851001</v>
      </c>
      <c r="AX89">
        <v>19697531439.767601</v>
      </c>
      <c r="AY89">
        <f>SUM($AW$89+$AX$89)</f>
        <v>21316382440.767601</v>
      </c>
      <c r="AZ89">
        <v>1638351001</v>
      </c>
      <c r="BA89">
        <v>20229702819.947601</v>
      </c>
      <c r="BB89">
        <f>SUM($AZ$89+$BA$89)</f>
        <v>21868053820.947601</v>
      </c>
      <c r="BD89" s="58"/>
    </row>
    <row r="90" spans="2:56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T90">
        <v>40788470</v>
      </c>
      <c r="AU90">
        <v>23208639.43</v>
      </c>
      <c r="AV90">
        <f>SUM($AT$90+$AU$90)</f>
        <v>63997109.43</v>
      </c>
      <c r="AW90">
        <v>40788470</v>
      </c>
      <c r="AX90">
        <v>23208639.43</v>
      </c>
      <c r="AY90">
        <f>SUM($AW$90+$AX$90)</f>
        <v>63997109.43</v>
      </c>
      <c r="AZ90">
        <v>40788470</v>
      </c>
      <c r="BA90">
        <v>23208639.43</v>
      </c>
      <c r="BB90">
        <f>SUM($AZ$90+$BA$90)</f>
        <v>63997109.43</v>
      </c>
      <c r="BD90" s="58"/>
    </row>
    <row r="91" spans="2:56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T91">
        <v>16049902</v>
      </c>
      <c r="AU91">
        <v>12759672.09</v>
      </c>
      <c r="AV91">
        <f>SUM($AT$91+$AU$91)</f>
        <v>28809574.09</v>
      </c>
      <c r="AW91">
        <v>16049902</v>
      </c>
      <c r="AX91">
        <v>12759672.09</v>
      </c>
      <c r="AY91">
        <f>SUM($AW$91+$AX$91)</f>
        <v>28809574.09</v>
      </c>
      <c r="AZ91">
        <v>16049902</v>
      </c>
      <c r="BA91">
        <v>12759672.09</v>
      </c>
      <c r="BB91">
        <f>SUM($AZ$91+$BA$91)</f>
        <v>28809574.09</v>
      </c>
      <c r="BD91" s="58"/>
    </row>
    <row r="92" spans="2:56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T92">
        <v>574759249</v>
      </c>
      <c r="AU92">
        <v>3635467201.7747998</v>
      </c>
      <c r="AV92">
        <f>SUM($AT$92+$AU$92)</f>
        <v>4210226450.7747998</v>
      </c>
      <c r="AW92">
        <v>699371046</v>
      </c>
      <c r="AX92">
        <v>5023582223.4179993</v>
      </c>
      <c r="AY92">
        <f>SUM($AW$92+$AX$92)</f>
        <v>5722953269.4179993</v>
      </c>
      <c r="AZ92">
        <v>716120461</v>
      </c>
      <c r="BA92">
        <v>5233336716.9418993</v>
      </c>
      <c r="BB92">
        <f>SUM($AZ$92+$BA$92)</f>
        <v>5949457177.9418993</v>
      </c>
      <c r="BD92" s="58"/>
    </row>
    <row r="93" spans="2:56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T93">
        <v>863466836</v>
      </c>
      <c r="AU93">
        <v>6525909653.1208</v>
      </c>
      <c r="AV93">
        <f>SUM($AT$93+$AU$93)</f>
        <v>7389376489.1208</v>
      </c>
      <c r="AW93">
        <v>1074233588</v>
      </c>
      <c r="AX93">
        <v>9695817518.5704002</v>
      </c>
      <c r="AY93">
        <f>SUM($AW$93+$AX$93)</f>
        <v>10770051106.5704</v>
      </c>
      <c r="AZ93">
        <v>1100234338</v>
      </c>
      <c r="BA93">
        <v>10266836725.046999</v>
      </c>
      <c r="BB93">
        <f>SUM($AZ$93+$BA$93)</f>
        <v>11367071063.046999</v>
      </c>
      <c r="BD93" s="58"/>
    </row>
    <row r="94" spans="2:56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T94">
        <v>376178625</v>
      </c>
      <c r="AU94">
        <v>1784290454.0999999</v>
      </c>
      <c r="AV94">
        <f>SUM($AT$94+$AU$94)</f>
        <v>2160469079.0999999</v>
      </c>
      <c r="AW94">
        <v>450884800</v>
      </c>
      <c r="AX94">
        <v>2348072772.96</v>
      </c>
      <c r="AY94">
        <f>SUM($AW$94+$AX$94)</f>
        <v>2798957572.96</v>
      </c>
      <c r="AZ94">
        <v>459397690</v>
      </c>
      <c r="BA94">
        <v>2446063000.4050002</v>
      </c>
      <c r="BB94">
        <f>SUM($AZ$94+$BA$94)</f>
        <v>2905460690.4050002</v>
      </c>
      <c r="BD94" s="58"/>
    </row>
    <row r="95" spans="2:56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T95">
        <v>1007063939</v>
      </c>
      <c r="AU95">
        <v>8512308650.7914</v>
      </c>
      <c r="AV95">
        <f>SUM($AT$95+$AU$95)</f>
        <v>9519372589.7914009</v>
      </c>
      <c r="AW95">
        <v>1280985760</v>
      </c>
      <c r="AX95">
        <v>12941542936.128</v>
      </c>
      <c r="AY95">
        <f>SUM($AW$95+$AX$95)</f>
        <v>14222528696.128</v>
      </c>
      <c r="AZ95">
        <v>1348020575</v>
      </c>
      <c r="BA95">
        <v>14532201006.73</v>
      </c>
      <c r="BB95">
        <f>SUM($AZ$95+$BA$95)</f>
        <v>15880221581.73</v>
      </c>
      <c r="BD95" s="58"/>
    </row>
    <row r="96" spans="2:56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T96">
        <v>1039051676</v>
      </c>
      <c r="AU96">
        <v>10024043233.8748</v>
      </c>
      <c r="AV96">
        <f>SUM($AT$96+$AU$96)</f>
        <v>11063094909.8748</v>
      </c>
      <c r="AW96">
        <v>1206856781</v>
      </c>
      <c r="AX96">
        <v>12672961685.924799</v>
      </c>
      <c r="AY96">
        <f>SUM($AW$96+$AX$96)</f>
        <v>13879818466.924799</v>
      </c>
      <c r="AZ96">
        <v>1235093556</v>
      </c>
      <c r="BA96">
        <v>13265275319.5068</v>
      </c>
      <c r="BB96">
        <f>SUM($AZ$96+$BA$96)</f>
        <v>14500368875.5068</v>
      </c>
      <c r="BD96" s="58"/>
    </row>
    <row r="97" spans="2:56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T97">
        <v>688818276</v>
      </c>
      <c r="AU97">
        <v>4298570451.3779993</v>
      </c>
      <c r="AV97">
        <f>SUM($AT$97+$AU$97)</f>
        <v>4987388727.3779993</v>
      </c>
      <c r="AW97">
        <v>762500881</v>
      </c>
      <c r="AX97">
        <v>5278717349.0748997</v>
      </c>
      <c r="AY97">
        <f>SUM($AW$97+$AX$97)</f>
        <v>6041218230.0748997</v>
      </c>
      <c r="AZ97">
        <v>783751736</v>
      </c>
      <c r="BA97">
        <v>5680240706.6599998</v>
      </c>
      <c r="BB97">
        <f>SUM($AZ$97+$BA$97)</f>
        <v>6463992442.6599998</v>
      </c>
      <c r="BD97" s="58"/>
    </row>
    <row r="98" spans="2:56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T98">
        <v>441449536</v>
      </c>
      <c r="AU98">
        <v>1916023421.1007998</v>
      </c>
      <c r="AV98">
        <f>SUM($AT$98+$AU$98)</f>
        <v>2357472957.1007996</v>
      </c>
      <c r="AW98">
        <v>539785937</v>
      </c>
      <c r="AX98">
        <v>2934006460.5634999</v>
      </c>
      <c r="AY98">
        <f>SUM($AW$98+$AX$98)</f>
        <v>3473792397.5634999</v>
      </c>
      <c r="AZ98">
        <v>546399897</v>
      </c>
      <c r="BA98">
        <v>3012084072.2021999</v>
      </c>
      <c r="BB98">
        <f>SUM($AZ$98+$BA$98)</f>
        <v>3558483969.2021999</v>
      </c>
      <c r="BD98" s="58"/>
    </row>
    <row r="99" spans="2:56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T99">
        <v>3908718844</v>
      </c>
      <c r="AU99">
        <v>65931096844.938797</v>
      </c>
      <c r="AV99">
        <f>SUM($AT$99+$AU$99)</f>
        <v>69839815688.938797</v>
      </c>
      <c r="AW99">
        <v>4303830104</v>
      </c>
      <c r="AX99">
        <v>80850030801.702393</v>
      </c>
      <c r="AY99">
        <f>SUM($AW$99+$AX$99)</f>
        <v>85153860905.702393</v>
      </c>
      <c r="AZ99">
        <v>4457066824</v>
      </c>
      <c r="BA99">
        <v>87600974185.625595</v>
      </c>
      <c r="BB99">
        <f>SUM($AZ$99+$BA$99)</f>
        <v>92058041009.625595</v>
      </c>
      <c r="BD99" s="58"/>
    </row>
    <row r="100" spans="2:56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T100">
        <v>221789001</v>
      </c>
      <c r="AU100">
        <v>703514711.17199993</v>
      </c>
      <c r="AV100">
        <f>SUM($AT$100+$AU$100)</f>
        <v>925303712.17199993</v>
      </c>
      <c r="AW100">
        <v>237382351</v>
      </c>
      <c r="AX100">
        <v>809639984.55569994</v>
      </c>
      <c r="AY100">
        <f>SUM($AW$100+$AX$100)</f>
        <v>1047022335.5556999</v>
      </c>
      <c r="AZ100">
        <v>247392861</v>
      </c>
      <c r="BA100">
        <v>890985388.8915</v>
      </c>
      <c r="BB100">
        <f>SUM($AZ$100+$BA$100)</f>
        <v>1138378249.8915</v>
      </c>
      <c r="BD100" s="58"/>
    </row>
    <row r="101" spans="2:56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T101">
        <v>553410215</v>
      </c>
      <c r="AU101">
        <v>2668045987.5365</v>
      </c>
      <c r="AV101">
        <f>SUM($AT$101+$AU$101)</f>
        <v>3221456202.5365</v>
      </c>
      <c r="AW101">
        <v>625322878</v>
      </c>
      <c r="AX101">
        <v>3363861889.9132004</v>
      </c>
      <c r="AY101">
        <f>SUM($AW$101+$AX$101)</f>
        <v>3989184767.9132004</v>
      </c>
      <c r="AZ101">
        <v>643646603</v>
      </c>
      <c r="BA101">
        <v>3734115767.3044996</v>
      </c>
      <c r="BB101">
        <f>SUM($AZ$101+$BA$101)</f>
        <v>4377762370.3044996</v>
      </c>
      <c r="BD101" s="58"/>
    </row>
    <row r="102" spans="2:56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T102">
        <v>220872499</v>
      </c>
      <c r="AU102">
        <v>811441386.82620001</v>
      </c>
      <c r="AV102">
        <f>SUM($AT$102+$AU$102)</f>
        <v>1032313885.8262</v>
      </c>
      <c r="AW102">
        <v>326980043</v>
      </c>
      <c r="AX102">
        <v>1821507725.5401001</v>
      </c>
      <c r="AY102">
        <f>SUM($AW$102+$AX$102)</f>
        <v>2148487768.5401001</v>
      </c>
      <c r="AZ102">
        <v>347266063</v>
      </c>
      <c r="BA102">
        <v>2008204915.7226999</v>
      </c>
      <c r="BB102">
        <f>SUM($AZ$102+$BA$102)</f>
        <v>2355470978.7227001</v>
      </c>
      <c r="BD102" s="58"/>
    </row>
    <row r="103" spans="2:56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T103">
        <v>496552234</v>
      </c>
      <c r="AU103">
        <v>2782033201.4317999</v>
      </c>
      <c r="AV103">
        <f>SUM($AT$103+$AU$103)</f>
        <v>3278585435.4317999</v>
      </c>
      <c r="AW103">
        <v>581972639</v>
      </c>
      <c r="AX103">
        <v>3644079876.3623996</v>
      </c>
      <c r="AY103">
        <f>SUM($AW$103+$AX$103)</f>
        <v>4226052515.3623996</v>
      </c>
      <c r="AZ103">
        <v>583003889</v>
      </c>
      <c r="BA103">
        <v>3653160668.8629003</v>
      </c>
      <c r="BB103">
        <f>SUM($AZ$103+$BA$103)</f>
        <v>4236164557.8629003</v>
      </c>
      <c r="BD103" s="58"/>
    </row>
    <row r="104" spans="2:56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T104">
        <v>1210383983</v>
      </c>
      <c r="AU104">
        <v>12080479419.128101</v>
      </c>
      <c r="AV104">
        <f>SUM($AT$104+$AU$104)</f>
        <v>13290863402.128101</v>
      </c>
      <c r="AW104">
        <v>1376528893</v>
      </c>
      <c r="AX104">
        <v>15294612530.122999</v>
      </c>
      <c r="AY104">
        <f>SUM($AW$104+$AX$104)</f>
        <v>16671141423.122999</v>
      </c>
      <c r="AZ104">
        <v>1401098893</v>
      </c>
      <c r="BA104">
        <v>15899530127.874699</v>
      </c>
      <c r="BB104">
        <f>SUM($AZ$104+$BA$104)</f>
        <v>17300629020.874699</v>
      </c>
      <c r="BD104" s="58"/>
    </row>
    <row r="105" spans="2:56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T105">
        <v>2295462023</v>
      </c>
      <c r="AU105">
        <v>34453966780.420799</v>
      </c>
      <c r="AV105">
        <f>SUM($AT$105+$AU$105)</f>
        <v>36749428803.420799</v>
      </c>
      <c r="AW105">
        <v>2660162083</v>
      </c>
      <c r="AX105">
        <v>44506107745.839798</v>
      </c>
      <c r="AY105">
        <f>SUM($AW$105+$AX$105)</f>
        <v>47166269828.839798</v>
      </c>
      <c r="AZ105">
        <v>2695081958</v>
      </c>
      <c r="BA105">
        <v>45763569679.623199</v>
      </c>
      <c r="BB105">
        <f>SUM($AZ$105+$BA$105)</f>
        <v>48458651637.623199</v>
      </c>
      <c r="BD105" s="58"/>
    </row>
    <row r="106" spans="2:56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T106">
        <v>1081167769</v>
      </c>
      <c r="AU106">
        <v>10096701444.3603</v>
      </c>
      <c r="AV106">
        <f>SUM($AT$106+$AU$106)</f>
        <v>11177869213.3603</v>
      </c>
      <c r="AW106">
        <v>1148224054</v>
      </c>
      <c r="AX106">
        <v>11143055154.4484</v>
      </c>
      <c r="AY106">
        <f>SUM($AW$106+$AX$106)</f>
        <v>12291279208.4484</v>
      </c>
      <c r="AZ106">
        <v>1186076804</v>
      </c>
      <c r="BA106">
        <v>11831946373.6628</v>
      </c>
      <c r="BB106">
        <f>SUM($AZ$106+$BA$106)</f>
        <v>13018023177.6628</v>
      </c>
      <c r="BD106" s="58"/>
    </row>
    <row r="107" spans="2:56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T107">
        <v>521048090</v>
      </c>
      <c r="AU107">
        <v>2974611441.0009999</v>
      </c>
      <c r="AV107">
        <f>SUM($AT$107+$AU$107)</f>
        <v>3495659531.0009999</v>
      </c>
      <c r="AW107">
        <v>592155519</v>
      </c>
      <c r="AX107">
        <v>3845990880.3530998</v>
      </c>
      <c r="AY107">
        <f>SUM($AW$107+$AX$107)</f>
        <v>4438146399.3530998</v>
      </c>
      <c r="AZ107">
        <v>638612764</v>
      </c>
      <c r="BA107">
        <v>4413388950.7276001</v>
      </c>
      <c r="BB107">
        <f>SUM($AZ$107+$BA$107)</f>
        <v>5052001714.7276001</v>
      </c>
      <c r="BD107" s="58"/>
    </row>
    <row r="108" spans="2:56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T108">
        <v>332445580</v>
      </c>
      <c r="AU108">
        <v>1000361994.7780001</v>
      </c>
      <c r="AV108">
        <f>SUM($AT$108+$AU$108)</f>
        <v>1332807574.7780001</v>
      </c>
      <c r="AW108">
        <v>373409529</v>
      </c>
      <c r="AX108">
        <v>1182849365.0132999</v>
      </c>
      <c r="AY108">
        <f>SUM($AW$108+$AX$108)</f>
        <v>1556258894.0132999</v>
      </c>
      <c r="AZ108">
        <v>410244429</v>
      </c>
      <c r="BA108">
        <v>1401887262.7788</v>
      </c>
      <c r="BB108">
        <f>SUM($AZ$108+$BA$108)</f>
        <v>1812131691.7788</v>
      </c>
      <c r="BD108" s="58"/>
    </row>
    <row r="109" spans="2:56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T109">
        <v>1119102139</v>
      </c>
      <c r="AU109">
        <v>8893728519.0608006</v>
      </c>
      <c r="AV109">
        <f>SUM($AT$109+$AU$109)</f>
        <v>10012830658.060801</v>
      </c>
      <c r="AW109">
        <v>1302622489</v>
      </c>
      <c r="AX109">
        <v>12418030449.885899</v>
      </c>
      <c r="AY109">
        <f>SUM($AW$109+$AX$109)</f>
        <v>13720652938.885899</v>
      </c>
      <c r="AZ109">
        <v>1326619599</v>
      </c>
      <c r="BA109">
        <v>12822309072.174599</v>
      </c>
      <c r="BB109">
        <f>SUM($AZ$109+$BA$109)</f>
        <v>14148928671.174599</v>
      </c>
      <c r="BD109" s="58"/>
    </row>
    <row r="110" spans="2:56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T110">
        <v>274346994</v>
      </c>
      <c r="AU110">
        <v>937553417.29560006</v>
      </c>
      <c r="AV110">
        <f>SUM($AT$110+$AU$110)</f>
        <v>1211900411.2955999</v>
      </c>
      <c r="AW110">
        <v>277601994</v>
      </c>
      <c r="AX110">
        <v>954923099.16060007</v>
      </c>
      <c r="AY110">
        <f>SUM($AW$110+$AX$110)</f>
        <v>1232525093.1606002</v>
      </c>
      <c r="AZ110">
        <v>277601994</v>
      </c>
      <c r="BA110">
        <v>954923099.16060007</v>
      </c>
      <c r="BB110">
        <f>SUM($AZ$110+$BA$110)</f>
        <v>1232525093.1606002</v>
      </c>
      <c r="BD110" s="58"/>
    </row>
    <row r="111" spans="2:56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T111">
        <v>476358547</v>
      </c>
      <c r="AU111">
        <v>2669179846.4051003</v>
      </c>
      <c r="AV111">
        <f>SUM($AT$111+$AU$111)</f>
        <v>3145538393.4051003</v>
      </c>
      <c r="AW111">
        <v>621845982</v>
      </c>
      <c r="AX111">
        <v>4241860181.6148</v>
      </c>
      <c r="AY111">
        <f>SUM($AW$111+$AX$111)</f>
        <v>4863706163.6147995</v>
      </c>
      <c r="AZ111">
        <v>656953567</v>
      </c>
      <c r="BA111">
        <v>4695115752.6356001</v>
      </c>
      <c r="BB111">
        <f>SUM($AZ$111+$BA$111)</f>
        <v>5352069319.6356001</v>
      </c>
      <c r="BD111" s="58"/>
    </row>
    <row r="112" spans="2:56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T112">
        <v>69174598</v>
      </c>
      <c r="AU112">
        <v>66698147.391599998</v>
      </c>
      <c r="AV112">
        <f>SUM($AT$112+$AU$112)</f>
        <v>135872745.39160001</v>
      </c>
      <c r="AW112">
        <v>147782518</v>
      </c>
      <c r="AX112">
        <v>299791616.01480001</v>
      </c>
      <c r="AY112">
        <f>SUM($AW$112+$AX$112)</f>
        <v>447574134.01480001</v>
      </c>
      <c r="AZ112">
        <v>156428333</v>
      </c>
      <c r="BA112">
        <v>329203426.7985</v>
      </c>
      <c r="BB112">
        <f>SUM($AZ$112+$BA$112)</f>
        <v>485631759.7985</v>
      </c>
      <c r="BD112" s="58"/>
    </row>
    <row r="113" spans="2:56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T113">
        <v>3391148193</v>
      </c>
      <c r="AU113">
        <v>69726415340.730911</v>
      </c>
      <c r="AV113">
        <f>SUM($AT$113+$AU$113)</f>
        <v>73117563533.730911</v>
      </c>
      <c r="AW113">
        <v>3583765618</v>
      </c>
      <c r="AX113">
        <v>75890895856.4534</v>
      </c>
      <c r="AY113">
        <f>SUM($AW$113+$AX$113)</f>
        <v>79474661474.4534</v>
      </c>
      <c r="AZ113">
        <v>3619136968</v>
      </c>
      <c r="BA113">
        <v>77986972954.947998</v>
      </c>
      <c r="BB113">
        <f>SUM($AZ$113+$BA$113)</f>
        <v>81606109922.947998</v>
      </c>
      <c r="BD113" s="58"/>
    </row>
    <row r="114" spans="2:56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T114">
        <v>1083296761</v>
      </c>
      <c r="AU114">
        <v>9000354479.4162998</v>
      </c>
      <c r="AV114">
        <f>SUM($AT$114+$AU$114)</f>
        <v>10083651240.4163</v>
      </c>
      <c r="AW114">
        <v>1238894836</v>
      </c>
      <c r="AX114">
        <v>11284845282.156799</v>
      </c>
      <c r="AY114">
        <f>SUM($AW$114+$AX$114)</f>
        <v>12523740118.156799</v>
      </c>
      <c r="AZ114">
        <v>1288923326</v>
      </c>
      <c r="BA114">
        <v>12298261915.028999</v>
      </c>
      <c r="BB114">
        <f>SUM($AZ$114+$BA$114)</f>
        <v>13587185241.028999</v>
      </c>
      <c r="BD114" s="58"/>
    </row>
    <row r="115" spans="2:56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T115">
        <v>312921150</v>
      </c>
      <c r="AU115">
        <v>1173516896.73</v>
      </c>
      <c r="AV115">
        <f>SUM($AT$115+$AU$115)</f>
        <v>1486438046.73</v>
      </c>
      <c r="AW115">
        <v>359587095</v>
      </c>
      <c r="AX115">
        <v>1498399424.865</v>
      </c>
      <c r="AY115">
        <f>SUM($AW$115+$AX$115)</f>
        <v>1857986519.865</v>
      </c>
      <c r="AZ115">
        <v>367247300</v>
      </c>
      <c r="BA115">
        <v>1559882906.75</v>
      </c>
      <c r="BB115">
        <f>SUM($AZ$115+$BA$115)</f>
        <v>1927130206.75</v>
      </c>
      <c r="BD115" s="58"/>
    </row>
    <row r="116" spans="2:56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  <c r="AT116">
        <v>223569939</v>
      </c>
      <c r="AU116">
        <v>728949786.10950005</v>
      </c>
      <c r="AV116">
        <f>SUM($AT$116+$AU$116)</f>
        <v>952519725.10950005</v>
      </c>
      <c r="AW116">
        <v>235886714</v>
      </c>
      <c r="AX116">
        <v>830462765.30840003</v>
      </c>
      <c r="AY116">
        <f>SUM($AW$116+$AX$116)</f>
        <v>1066349479.3084</v>
      </c>
      <c r="AZ116">
        <v>241361899</v>
      </c>
      <c r="BA116">
        <v>862289520.36739993</v>
      </c>
      <c r="BB116">
        <f>SUM($AZ$116+$BA$116)</f>
        <v>1103651419.3673999</v>
      </c>
      <c r="BD116" s="58"/>
    </row>
    <row r="117" spans="2:56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  <c r="AT117">
        <v>1754867494</v>
      </c>
      <c r="AU117">
        <v>23190047472.9618</v>
      </c>
      <c r="AV117">
        <f>SUM($AT$117+$AU$117)</f>
        <v>24944914966.9618</v>
      </c>
      <c r="AW117">
        <v>2070455914</v>
      </c>
      <c r="AX117">
        <v>30254329997.733601</v>
      </c>
      <c r="AY117">
        <f>SUM($AW$117+$AX$117)</f>
        <v>32324785911.733601</v>
      </c>
      <c r="AZ117">
        <v>2111363089</v>
      </c>
      <c r="BA117">
        <v>31563611362.696602</v>
      </c>
      <c r="BB117">
        <f>SUM($AZ$117+$BA$117)</f>
        <v>33674974451.696602</v>
      </c>
      <c r="BD117" s="58"/>
    </row>
    <row r="118" spans="2:56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  <c r="AT118">
        <v>156613642</v>
      </c>
      <c r="AU118">
        <v>553425626.73539996</v>
      </c>
      <c r="AV118">
        <f>SUM($AT$118+$AU$118)</f>
        <v>710039268.73539996</v>
      </c>
      <c r="AW118">
        <v>171241211</v>
      </c>
      <c r="AX118">
        <v>628284003.15899992</v>
      </c>
      <c r="AY118">
        <f>SUM($AW$118+$AX$118)</f>
        <v>799525214.15899992</v>
      </c>
      <c r="AZ118">
        <v>177318107</v>
      </c>
      <c r="BA118">
        <v>667088450.34469998</v>
      </c>
      <c r="BB118">
        <f>SUM($AZ$118+$BA$118)</f>
        <v>844406557.34469998</v>
      </c>
      <c r="BD118" s="58"/>
    </row>
    <row r="119" spans="2:56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  <c r="AT119">
        <v>287359572</v>
      </c>
      <c r="AU119">
        <v>795008991.89520001</v>
      </c>
      <c r="AV119">
        <f>SUM($AT$119+$AU$119)</f>
        <v>1082368563.8952</v>
      </c>
      <c r="AW119">
        <v>289617812</v>
      </c>
      <c r="AX119">
        <v>821964312.23720002</v>
      </c>
      <c r="AY119">
        <f>SUM($AW$119+$AX$119)</f>
        <v>1111582124.2372</v>
      </c>
      <c r="AZ119">
        <v>293234182</v>
      </c>
      <c r="BA119">
        <v>838942994.70200002</v>
      </c>
      <c r="BB119">
        <f>SUM($AZ$119+$BA$119)</f>
        <v>1132177176.7020001</v>
      </c>
      <c r="BD119" s="58"/>
    </row>
    <row r="120" spans="2:56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  <c r="AT120">
        <v>249400136</v>
      </c>
      <c r="AU120">
        <v>1004134827.5632</v>
      </c>
      <c r="AV120">
        <f>SUM($AT$120+$AU$120)</f>
        <v>1253534963.5632</v>
      </c>
      <c r="AW120">
        <v>262607866</v>
      </c>
      <c r="AX120">
        <v>1174067247.3127999</v>
      </c>
      <c r="AY120">
        <f>SUM($AW$120+$AX$120)</f>
        <v>1436675113.3127999</v>
      </c>
      <c r="AZ120">
        <v>271497126</v>
      </c>
      <c r="BA120">
        <v>1253719428.4428</v>
      </c>
      <c r="BB120">
        <f>SUM($AZ$120+$BA$120)</f>
        <v>1525216554.4428</v>
      </c>
      <c r="BD120" s="58"/>
    </row>
    <row r="121" spans="2:56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  <c r="AT121">
        <v>49847700</v>
      </c>
      <c r="AU121">
        <v>47933548.32</v>
      </c>
      <c r="AV121">
        <f>SUM($AT$121+$AU$121)</f>
        <v>97781248.319999993</v>
      </c>
      <c r="AW121">
        <v>58654745</v>
      </c>
      <c r="AX121">
        <v>74855185.569000006</v>
      </c>
      <c r="AY121">
        <f>SUM($AW$121+$AX$121)</f>
        <v>133509930.56900001</v>
      </c>
      <c r="AZ121">
        <v>62216235</v>
      </c>
      <c r="BA121">
        <v>85908177.288000003</v>
      </c>
      <c r="BB121">
        <f>SUM($AZ$121+$BA$121)</f>
        <v>148124412.28799999</v>
      </c>
      <c r="BD121" s="58"/>
    </row>
    <row r="122" spans="2:56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  <c r="AT122">
        <v>541110600</v>
      </c>
      <c r="AU122">
        <v>2970967749.2999997</v>
      </c>
      <c r="AV122">
        <f>SUM($AT$122+$AU$122)</f>
        <v>3512078349.2999997</v>
      </c>
      <c r="AW122">
        <v>686416701</v>
      </c>
      <c r="AX122">
        <v>4490743982.9523001</v>
      </c>
      <c r="AY122">
        <f>SUM($AW$122+$AX$122)</f>
        <v>5177160683.9523001</v>
      </c>
      <c r="AZ122">
        <v>730606371</v>
      </c>
      <c r="BA122">
        <v>5165240921.6957998</v>
      </c>
      <c r="BB122">
        <f>SUM($AZ$122+$BA$122)</f>
        <v>5895847292.6957998</v>
      </c>
      <c r="BD122" s="58"/>
    </row>
    <row r="123" spans="2:56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  <c r="AT123">
        <v>1322272224</v>
      </c>
      <c r="AU123">
        <v>15266293962.191999</v>
      </c>
      <c r="AV123">
        <f>SUM($AT$123+$AU$123)</f>
        <v>16588566186.191999</v>
      </c>
      <c r="AW123">
        <v>1493839179</v>
      </c>
      <c r="AX123">
        <v>18332842556.4417</v>
      </c>
      <c r="AY123">
        <f>SUM($AW$123+$AX$123)</f>
        <v>19826681735.4417</v>
      </c>
      <c r="AZ123">
        <v>1523480429</v>
      </c>
      <c r="BA123">
        <v>18894356628.5009</v>
      </c>
      <c r="BB123">
        <f>SUM($AZ$123+$BA$123)</f>
        <v>20417837057.5009</v>
      </c>
      <c r="BD123" s="58"/>
    </row>
    <row r="124" spans="2:56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  <c r="AT124">
        <v>744359959</v>
      </c>
      <c r="AU124">
        <v>5043262030.2126999</v>
      </c>
      <c r="AV124">
        <f>SUM($AT$124+$AU$124)</f>
        <v>5787621989.2126999</v>
      </c>
      <c r="AW124">
        <v>786589033</v>
      </c>
      <c r="AX124">
        <v>5529406266.3768005</v>
      </c>
      <c r="AY124">
        <f>SUM($AW$124+$AX$124)</f>
        <v>6315995299.3768005</v>
      </c>
      <c r="AZ124">
        <v>796416768</v>
      </c>
      <c r="BA124">
        <v>5664116054.0160007</v>
      </c>
      <c r="BB124">
        <f>SUM($AZ$124+$BA$124)</f>
        <v>6460532822.0160007</v>
      </c>
      <c r="BD124" s="58"/>
    </row>
    <row r="125" spans="2:56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  <c r="AT125">
        <v>658665394</v>
      </c>
      <c r="AU125">
        <v>4713343692.9246006</v>
      </c>
      <c r="AV125">
        <f>SUM($AT$125+$AU$125)</f>
        <v>5372009086.9246006</v>
      </c>
      <c r="AW125">
        <v>867637386</v>
      </c>
      <c r="AX125">
        <v>7402855704.8291998</v>
      </c>
      <c r="AY125">
        <f>SUM($AW$125+$AX$125)</f>
        <v>8270493090.8291998</v>
      </c>
      <c r="AZ125">
        <v>889102471</v>
      </c>
      <c r="BA125">
        <v>7731190536.5804996</v>
      </c>
      <c r="BB125">
        <f>SUM($AZ$125+$BA$125)</f>
        <v>8620293007.5804996</v>
      </c>
      <c r="BD125" s="58"/>
    </row>
    <row r="126" spans="2:56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  <c r="AT126">
        <v>331881541</v>
      </c>
      <c r="AU126">
        <v>1242000290.8843</v>
      </c>
      <c r="AV126">
        <f>SUM($AT$126+$AU$126)</f>
        <v>1573881831.8843</v>
      </c>
      <c r="AW126">
        <v>417843561</v>
      </c>
      <c r="AX126">
        <v>1950535527.1041</v>
      </c>
      <c r="AY126">
        <f>SUM($AW$126+$AX$126)</f>
        <v>2368379088.1041002</v>
      </c>
      <c r="AZ126">
        <v>421446926</v>
      </c>
      <c r="BA126">
        <v>2010343981.7126</v>
      </c>
      <c r="BB126">
        <f>SUM($AZ$126+$BA$126)</f>
        <v>2431790907.7125998</v>
      </c>
      <c r="BD126" s="58"/>
    </row>
    <row r="127" spans="2:56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  <c r="AT127">
        <v>801294440</v>
      </c>
      <c r="AU127">
        <v>5996887588.96</v>
      </c>
      <c r="AV127">
        <f>SUM($AT$127+$AU$127)</f>
        <v>6798182028.96</v>
      </c>
      <c r="AW127">
        <v>885057625</v>
      </c>
      <c r="AX127">
        <v>7249949535.1875</v>
      </c>
      <c r="AY127">
        <f>SUM($AW$127+$AX$127)</f>
        <v>8135007160.1875</v>
      </c>
      <c r="AZ127">
        <v>908383075</v>
      </c>
      <c r="BA127">
        <v>7647132078.5799999</v>
      </c>
      <c r="BB127">
        <f>SUM($AZ$127+$BA$127)</f>
        <v>8555515153.5799999</v>
      </c>
      <c r="BD127" s="58"/>
    </row>
    <row r="128" spans="2:56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  <c r="AT128">
        <v>72936158</v>
      </c>
      <c r="AU128">
        <v>120541588.3266</v>
      </c>
      <c r="AV128">
        <f>SUM($AT$128+$AU$128)</f>
        <v>193477746.32660002</v>
      </c>
      <c r="AW128">
        <v>106297310</v>
      </c>
      <c r="AX128">
        <v>147179255.426</v>
      </c>
      <c r="AY128">
        <f>SUM($AW$128+$AX$128)</f>
        <v>253476565.426</v>
      </c>
      <c r="AZ128">
        <v>123536825</v>
      </c>
      <c r="BA128">
        <v>235955335.75</v>
      </c>
      <c r="BB128">
        <f>SUM($AZ$128+$BA$128)</f>
        <v>359492160.75</v>
      </c>
      <c r="BD128" s="58"/>
    </row>
    <row r="129" spans="2:56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  <c r="AT129">
        <v>421021201</v>
      </c>
      <c r="AU129">
        <v>2020733356.3195999</v>
      </c>
      <c r="AV129">
        <f>SUM($AT$129+$AU$129)</f>
        <v>2441754557.3196001</v>
      </c>
      <c r="AW129">
        <v>435965733</v>
      </c>
      <c r="AX129">
        <v>2372525518.9860001</v>
      </c>
      <c r="AY129">
        <f>SUM($AW$129+$AX$129)</f>
        <v>2808491251.9860001</v>
      </c>
      <c r="AZ129">
        <v>439676803</v>
      </c>
      <c r="BA129">
        <v>2479777168.9200001</v>
      </c>
      <c r="BB129">
        <f>SUM($AZ$129+$BA$129)</f>
        <v>2919453971.9200001</v>
      </c>
      <c r="BD129" s="58"/>
    </row>
    <row r="130" spans="2:56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  <c r="AT130">
        <v>181375297</v>
      </c>
      <c r="AU130">
        <v>380343997.80899996</v>
      </c>
      <c r="AV130">
        <f>SUM($AT$130+$AU$130)</f>
        <v>561719294.80900002</v>
      </c>
      <c r="AW130">
        <v>239952716</v>
      </c>
      <c r="AX130">
        <v>814591480.27680004</v>
      </c>
      <c r="AY130">
        <f>SUM($AW$130+$AX$130)</f>
        <v>1054544196.2768</v>
      </c>
      <c r="AZ130">
        <v>262228831</v>
      </c>
      <c r="BA130">
        <v>999616303.77199996</v>
      </c>
      <c r="BB130">
        <f>SUM($AZ$130+$BA$130)</f>
        <v>1261845134.7719998</v>
      </c>
      <c r="BD130" s="58"/>
    </row>
    <row r="131" spans="2:56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  <c r="AT131">
        <v>488925492</v>
      </c>
      <c r="AU131">
        <v>2217912709.3596001</v>
      </c>
      <c r="AV131">
        <f>SUM($AT$131+$AU$131)</f>
        <v>2706838201.3596001</v>
      </c>
      <c r="AW131">
        <v>521765549</v>
      </c>
      <c r="AX131">
        <v>2659334650.1431999</v>
      </c>
      <c r="AY131">
        <f>SUM($AW$131+$AX$131)</f>
        <v>3181100199.1431999</v>
      </c>
      <c r="AZ131">
        <v>573463749</v>
      </c>
      <c r="BA131">
        <v>3107772094.9556999</v>
      </c>
      <c r="BB131">
        <f>SUM($AZ$131+$BA$131)</f>
        <v>3681235843.9556999</v>
      </c>
      <c r="BD131" s="58"/>
    </row>
    <row r="132" spans="2:56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  <c r="AT132">
        <v>403565056</v>
      </c>
      <c r="AU132">
        <v>1156536737.4847999</v>
      </c>
      <c r="AV132">
        <f>SUM($AT$132+$AU$132)</f>
        <v>1560101793.4847999</v>
      </c>
      <c r="AW132">
        <v>599068834</v>
      </c>
      <c r="AX132">
        <v>3209571185.0384002</v>
      </c>
      <c r="AY132">
        <f>SUM($AW$132+$AX$132)</f>
        <v>3808640019.0384002</v>
      </c>
      <c r="AZ132">
        <v>615836834</v>
      </c>
      <c r="BA132">
        <v>3391782946.9383998</v>
      </c>
      <c r="BB132">
        <f>SUM($AZ$132+$BA$132)</f>
        <v>4007619780.9383998</v>
      </c>
      <c r="BD132" s="58"/>
    </row>
    <row r="133" spans="2:56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  <c r="AT133">
        <v>1257401909</v>
      </c>
      <c r="AU133">
        <v>14165512686.2213</v>
      </c>
      <c r="AV133">
        <f>SUM($AT$133+$AU$133)</f>
        <v>15422914595.2213</v>
      </c>
      <c r="AW133">
        <v>1363323774</v>
      </c>
      <c r="AX133">
        <v>16373109528.6078</v>
      </c>
      <c r="AY133">
        <f>SUM($AW$133+$AX$133)</f>
        <v>17736433302.6078</v>
      </c>
      <c r="AZ133">
        <v>1382757669</v>
      </c>
      <c r="BA133">
        <v>16879184589.716101</v>
      </c>
      <c r="BB133">
        <f>SUM($AZ$133+$BA$133)</f>
        <v>18261942258.716103</v>
      </c>
      <c r="BD133" s="58"/>
    </row>
    <row r="134" spans="2:56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  <c r="AT134">
        <v>323973398</v>
      </c>
      <c r="AU134">
        <v>1064187817.7504001</v>
      </c>
      <c r="AV134">
        <f>SUM($AT$134+$AU$134)</f>
        <v>1388161215.7504001</v>
      </c>
      <c r="AW134">
        <v>412693618</v>
      </c>
      <c r="AX134">
        <v>1693075567.845</v>
      </c>
      <c r="AY134">
        <f>SUM($AW$134+$AX$134)</f>
        <v>2105769185.845</v>
      </c>
      <c r="AZ134">
        <v>423028673</v>
      </c>
      <c r="BA134">
        <v>1788819046.6478</v>
      </c>
      <c r="BB134">
        <f>SUM($AZ$134+$BA$134)</f>
        <v>2211847719.6478</v>
      </c>
      <c r="BD134" s="58"/>
    </row>
    <row r="135" spans="2:56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  <c r="AT135">
        <v>14409168</v>
      </c>
      <c r="AU135">
        <v>7363084.8480000002</v>
      </c>
      <c r="AV135">
        <f>SUM($AT$135+$AU$135)</f>
        <v>21772252.848000001</v>
      </c>
      <c r="AW135">
        <v>15985518</v>
      </c>
      <c r="AX135">
        <v>8937503.1137999985</v>
      </c>
      <c r="AY135">
        <f>SUM($AW$135+$AX$135)</f>
        <v>24923021.113799997</v>
      </c>
      <c r="AZ135">
        <v>16117018</v>
      </c>
      <c r="BA135">
        <v>9049705.6069999989</v>
      </c>
      <c r="BB135">
        <f>SUM($AZ$135+$BA$135)</f>
        <v>25166723.607000001</v>
      </c>
      <c r="BD135" s="58"/>
    </row>
    <row r="136" spans="2:56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  <c r="AT136">
        <v>777145486</v>
      </c>
      <c r="AU136">
        <v>5467218494.0100002</v>
      </c>
      <c r="AV136">
        <f>SUM($AT$136+$AU$136)</f>
        <v>6244363980.0100002</v>
      </c>
      <c r="AW136">
        <v>853586801</v>
      </c>
      <c r="AX136">
        <v>7021263590.3055992</v>
      </c>
      <c r="AY136">
        <f>SUM($AW$136+$AX$136)</f>
        <v>7874850391.3055992</v>
      </c>
      <c r="AZ136">
        <v>901076591</v>
      </c>
      <c r="BA136">
        <v>7969211478.4630995</v>
      </c>
      <c r="BB136">
        <f>SUM($AZ$136+$BA$136)</f>
        <v>8870288069.4631004</v>
      </c>
      <c r="BD136" s="58"/>
    </row>
    <row r="137" spans="2:56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  <c r="AT137">
        <v>353746582</v>
      </c>
      <c r="AU137">
        <v>1151339000.4354</v>
      </c>
      <c r="AV137">
        <f>SUM($AT$137+$AU$137)</f>
        <v>1505085582.4354</v>
      </c>
      <c r="AW137">
        <v>400816164</v>
      </c>
      <c r="AX137">
        <v>1531759052.3424001</v>
      </c>
      <c r="AY137">
        <f>SUM($AW$137+$AX$137)</f>
        <v>1932575216.3424001</v>
      </c>
      <c r="AZ137">
        <v>418740104</v>
      </c>
      <c r="BA137">
        <v>1659927646.2664001</v>
      </c>
      <c r="BB137">
        <f>SUM($AZ$137+$BA$137)</f>
        <v>2078667750.2664001</v>
      </c>
      <c r="BD137" s="58"/>
    </row>
    <row r="138" spans="2:56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  <c r="AT138">
        <v>1233927151</v>
      </c>
      <c r="AU138">
        <v>12554468405.134401</v>
      </c>
      <c r="AV138">
        <f>SUM($AT$138+$AU$138)</f>
        <v>13788395556.134401</v>
      </c>
      <c r="AW138">
        <v>1411941021</v>
      </c>
      <c r="AX138">
        <v>16322744173.2705</v>
      </c>
      <c r="AY138">
        <f>SUM($AW$138+$AX$138)</f>
        <v>17734685194.2705</v>
      </c>
      <c r="AZ138">
        <v>1439370396</v>
      </c>
      <c r="BA138">
        <v>17009759654.73</v>
      </c>
      <c r="BB138">
        <f>SUM($AZ$138+$BA$138)</f>
        <v>18449130050.73</v>
      </c>
      <c r="BD138" s="58"/>
    </row>
    <row r="139" spans="2:56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  <c r="AT139">
        <v>62808116</v>
      </c>
      <c r="AU139">
        <v>114737866.3088</v>
      </c>
      <c r="AV139">
        <f>SUM($AT$139+$AU$139)</f>
        <v>177545982.30879998</v>
      </c>
      <c r="AW139">
        <v>115845676</v>
      </c>
      <c r="AX139">
        <v>291653073.8976</v>
      </c>
      <c r="AY139">
        <f>SUM($AW$139+$AX$139)</f>
        <v>407498749.8976</v>
      </c>
      <c r="AZ139">
        <v>133456946</v>
      </c>
      <c r="BA139">
        <v>375427734.79259998</v>
      </c>
      <c r="BB139">
        <f>SUM($AZ$139+$BA$139)</f>
        <v>508884680.79259998</v>
      </c>
      <c r="BD139" s="58"/>
    </row>
    <row r="140" spans="2:56">
      <c r="B140" t="s">
        <v>451</v>
      </c>
      <c r="C140" t="s">
        <v>452</v>
      </c>
      <c r="D140">
        <v>125120588</v>
      </c>
      <c r="E140">
        <v>151033061.7748</v>
      </c>
      <c r="F140">
        <f>SUM($D$140+$E$140)</f>
        <v>276153649.7748</v>
      </c>
      <c r="G140">
        <v>125120588</v>
      </c>
      <c r="H140">
        <v>151033061.7748</v>
      </c>
      <c r="I140">
        <f t="shared" ref="I140" si="814">SUM($D$140+$E$140)</f>
        <v>276153649.7748</v>
      </c>
      <c r="J140">
        <v>125120588</v>
      </c>
      <c r="K140">
        <v>151033061.7748</v>
      </c>
      <c r="L140">
        <f t="shared" ref="L140" si="815">SUM($D$140+$E$140)</f>
        <v>276153649.7748</v>
      </c>
      <c r="M140">
        <v>125120588</v>
      </c>
      <c r="N140">
        <v>151033061.7748</v>
      </c>
      <c r="O140">
        <f t="shared" ref="O140" si="816">SUM($D$140+$E$140)</f>
        <v>276153649.7748</v>
      </c>
      <c r="P140">
        <v>125120588</v>
      </c>
      <c r="Q140">
        <v>151033061.7748</v>
      </c>
      <c r="R140">
        <f t="shared" ref="R140" si="817">SUM($D$140+$E$140)</f>
        <v>276153649.7748</v>
      </c>
      <c r="S140">
        <v>125120588</v>
      </c>
      <c r="T140">
        <v>151033061.7748</v>
      </c>
      <c r="U140">
        <f t="shared" ref="U140" si="818">SUM($D$140+$E$140)</f>
        <v>276153649.7748</v>
      </c>
      <c r="V140">
        <v>125120588</v>
      </c>
      <c r="W140">
        <v>151033061.7748</v>
      </c>
      <c r="X140">
        <f t="shared" ref="X140" si="819">SUM($D$140+$E$140)</f>
        <v>276153649.7748</v>
      </c>
      <c r="Y140">
        <v>125120588</v>
      </c>
      <c r="Z140">
        <v>151033061.7748</v>
      </c>
      <c r="AA140">
        <f t="shared" ref="AA140" si="820">SUM($D$140+$E$140)</f>
        <v>276153649.7748</v>
      </c>
      <c r="AB140">
        <v>125120588</v>
      </c>
      <c r="AC140">
        <v>151033061.7748</v>
      </c>
      <c r="AD140">
        <f t="shared" ref="AD140" si="821">SUM($D$140+$E$140)</f>
        <v>276153649.7748</v>
      </c>
      <c r="AE140">
        <v>125120588</v>
      </c>
      <c r="AF140">
        <v>151033061.7748</v>
      </c>
      <c r="AG140">
        <f t="shared" ref="AG140" si="822">SUM($D$140+$E$140)</f>
        <v>276153649.7748</v>
      </c>
      <c r="AH140">
        <v>125120588</v>
      </c>
      <c r="AI140">
        <v>151033061.7748</v>
      </c>
      <c r="AJ140">
        <f t="shared" ref="AJ140" si="823">SUM($D$140+$E$140)</f>
        <v>276153649.7748</v>
      </c>
      <c r="AK140">
        <v>125120588</v>
      </c>
      <c r="AL140">
        <v>151033061.7748</v>
      </c>
      <c r="AM140">
        <f t="shared" ref="AM140" si="824">SUM($D$140+$E$140)</f>
        <v>276153649.7748</v>
      </c>
      <c r="AN140">
        <v>125120588</v>
      </c>
      <c r="AO140">
        <v>151033061.7748</v>
      </c>
      <c r="AP140">
        <f t="shared" ref="AP140" si="825">SUM($D$140+$E$140)</f>
        <v>276153649.7748</v>
      </c>
      <c r="AQ140">
        <v>125120588</v>
      </c>
      <c r="AR140">
        <v>151033061.7748</v>
      </c>
      <c r="AS140">
        <f t="shared" ref="AS140" si="826">SUM($D$140+$E$140)</f>
        <v>276153649.7748</v>
      </c>
      <c r="AT140">
        <v>125120588</v>
      </c>
      <c r="AU140">
        <v>151033061.7748</v>
      </c>
      <c r="AV140">
        <f t="shared" ref="AV140" si="827">SUM($D$140+$E$140)</f>
        <v>276153649.7748</v>
      </c>
      <c r="AW140">
        <v>146122353</v>
      </c>
      <c r="AX140">
        <v>234657886.68270001</v>
      </c>
      <c r="AY140">
        <f>SUM($AW140+$AX140)</f>
        <v>380780239.68270004</v>
      </c>
      <c r="AZ140">
        <v>150517768</v>
      </c>
      <c r="BA140">
        <v>256030723.368</v>
      </c>
      <c r="BB140">
        <f>SUM($AZ140+$BA140)</f>
        <v>406548491.36800003</v>
      </c>
      <c r="BD140" s="58"/>
    </row>
    <row r="141" spans="2:56">
      <c r="B141" t="s">
        <v>493</v>
      </c>
      <c r="C141" t="s">
        <v>454</v>
      </c>
      <c r="AW141">
        <v>37151965</v>
      </c>
      <c r="AX141">
        <v>38233087.181499995</v>
      </c>
      <c r="AY141">
        <f t="shared" ref="AY141:AY160" si="828">SUM($AW141+$AX141)</f>
        <v>75385052.181499988</v>
      </c>
      <c r="AZ141">
        <v>37151965</v>
      </c>
      <c r="BA141">
        <v>38233087.181499995</v>
      </c>
      <c r="BB141">
        <f t="shared" ref="BB141:BB160" si="829">SUM($AZ141+$BA141)</f>
        <v>75385052.181499988</v>
      </c>
      <c r="BD141" s="58"/>
    </row>
    <row r="142" spans="2:56">
      <c r="B142" t="s">
        <v>494</v>
      </c>
      <c r="C142" t="s">
        <v>456</v>
      </c>
      <c r="AW142">
        <v>357180468</v>
      </c>
      <c r="AX142">
        <v>1409612716.9619999</v>
      </c>
      <c r="AY142">
        <f t="shared" si="828"/>
        <v>1766793184.9619999</v>
      </c>
      <c r="AZ142">
        <v>357180468</v>
      </c>
      <c r="BA142">
        <v>1409612716.9619999</v>
      </c>
      <c r="BB142">
        <f t="shared" si="829"/>
        <v>1766793184.9619999</v>
      </c>
      <c r="BD142" s="58"/>
    </row>
    <row r="143" spans="2:56">
      <c r="B143" t="s">
        <v>492</v>
      </c>
      <c r="C143" t="s">
        <v>457</v>
      </c>
      <c r="AW143">
        <v>872393958</v>
      </c>
      <c r="AX143">
        <v>7659269993.6568003</v>
      </c>
      <c r="AY143">
        <f t="shared" si="828"/>
        <v>8531663951.6568003</v>
      </c>
      <c r="AZ143">
        <v>872393958</v>
      </c>
      <c r="BA143">
        <v>7659269993.6568003</v>
      </c>
      <c r="BB143">
        <f t="shared" si="829"/>
        <v>8531663951.6568003</v>
      </c>
      <c r="BD143" s="58"/>
    </row>
    <row r="144" spans="2:56">
      <c r="B144" t="s">
        <v>495</v>
      </c>
      <c r="C144" t="s">
        <v>459</v>
      </c>
      <c r="AW144">
        <v>184947268</v>
      </c>
      <c r="AX144">
        <v>449828745.22960001</v>
      </c>
      <c r="AY144">
        <f t="shared" si="828"/>
        <v>634776013.22959995</v>
      </c>
      <c r="AZ144">
        <v>184947268</v>
      </c>
      <c r="BA144">
        <v>449828745.22960001</v>
      </c>
      <c r="BB144">
        <f t="shared" si="829"/>
        <v>634776013.22959995</v>
      </c>
      <c r="BD144" s="58"/>
    </row>
    <row r="145" spans="2:56">
      <c r="B145" t="s">
        <v>496</v>
      </c>
      <c r="C145" t="s">
        <v>460</v>
      </c>
      <c r="AW145">
        <v>461597785</v>
      </c>
      <c r="AX145">
        <v>2288555658.2515001</v>
      </c>
      <c r="AY145">
        <f t="shared" si="828"/>
        <v>2750153443.2515001</v>
      </c>
      <c r="AZ145">
        <v>461597785</v>
      </c>
      <c r="BA145">
        <v>2288555658.2515001</v>
      </c>
      <c r="BB145">
        <f t="shared" si="829"/>
        <v>2750153443.2515001</v>
      </c>
      <c r="BD145" s="58"/>
    </row>
    <row r="146" spans="2:56">
      <c r="B146" t="s">
        <v>497</v>
      </c>
      <c r="C146" t="s">
        <v>463</v>
      </c>
      <c r="AW146">
        <v>488848396</v>
      </c>
      <c r="AX146">
        <v>2353267293.5043998</v>
      </c>
      <c r="AY146">
        <f t="shared" si="828"/>
        <v>2842115689.5043998</v>
      </c>
      <c r="AZ146">
        <v>488848396</v>
      </c>
      <c r="BA146">
        <v>2353267293.5043998</v>
      </c>
      <c r="BB146">
        <f t="shared" si="829"/>
        <v>2842115689.5043998</v>
      </c>
      <c r="BD146" s="58"/>
    </row>
    <row r="147" spans="2:56">
      <c r="B147" t="s">
        <v>498</v>
      </c>
      <c r="C147" t="s">
        <v>464</v>
      </c>
      <c r="AW147">
        <v>309249321</v>
      </c>
      <c r="AX147">
        <v>1063632114.6474</v>
      </c>
      <c r="AY147">
        <f t="shared" si="828"/>
        <v>1372881435.6473999</v>
      </c>
      <c r="AZ147">
        <v>309249321</v>
      </c>
      <c r="BA147">
        <v>1063632114.6474</v>
      </c>
      <c r="BB147">
        <f t="shared" si="829"/>
        <v>1372881435.6473999</v>
      </c>
      <c r="BD147" s="58"/>
    </row>
    <row r="148" spans="2:56">
      <c r="B148" t="s">
        <v>499</v>
      </c>
      <c r="C148" t="s">
        <v>467</v>
      </c>
      <c r="AW148">
        <v>578479492</v>
      </c>
      <c r="AX148">
        <v>3578589833.4103999</v>
      </c>
      <c r="AY148">
        <f t="shared" si="828"/>
        <v>4157069325.4103999</v>
      </c>
      <c r="AZ148">
        <v>578479492</v>
      </c>
      <c r="BA148">
        <v>3578589833.4103999</v>
      </c>
      <c r="BB148">
        <f t="shared" si="829"/>
        <v>4157069325.4103999</v>
      </c>
      <c r="BD148" s="58"/>
    </row>
    <row r="149" spans="2:56">
      <c r="B149" t="s">
        <v>500</v>
      </c>
      <c r="C149" t="s">
        <v>470</v>
      </c>
      <c r="AW149">
        <v>611890686</v>
      </c>
      <c r="AX149">
        <v>4046127161.1750002</v>
      </c>
      <c r="AY149">
        <f t="shared" si="828"/>
        <v>4658017847.1750002</v>
      </c>
      <c r="AZ149">
        <v>611890686</v>
      </c>
      <c r="BA149">
        <v>4046127161.1750002</v>
      </c>
      <c r="BB149">
        <f t="shared" si="829"/>
        <v>4658017847.1750002</v>
      </c>
      <c r="BD149" s="58"/>
    </row>
    <row r="150" spans="2:56">
      <c r="B150" t="s">
        <v>501</v>
      </c>
      <c r="C150" t="s">
        <v>471</v>
      </c>
      <c r="AW150">
        <v>539224698</v>
      </c>
      <c r="AX150">
        <v>3477082620.1134</v>
      </c>
      <c r="AY150">
        <f t="shared" si="828"/>
        <v>4016307318.1134</v>
      </c>
      <c r="AZ150">
        <v>539224698</v>
      </c>
      <c r="BA150">
        <v>3477082620.1134</v>
      </c>
      <c r="BB150">
        <f t="shared" si="829"/>
        <v>4016307318.1134</v>
      </c>
      <c r="BD150" s="58"/>
    </row>
    <row r="151" spans="2:56">
      <c r="B151" t="s">
        <v>502</v>
      </c>
      <c r="C151" t="s">
        <v>474</v>
      </c>
      <c r="AW151">
        <v>386864316</v>
      </c>
      <c r="AX151">
        <v>2308883610.7512002</v>
      </c>
      <c r="AY151">
        <f t="shared" si="828"/>
        <v>2695747926.7512002</v>
      </c>
      <c r="AZ151">
        <v>386864316</v>
      </c>
      <c r="BA151">
        <v>2308883610.7512002</v>
      </c>
      <c r="BB151">
        <f t="shared" si="829"/>
        <v>2695747926.7512002</v>
      </c>
      <c r="BD151" s="58"/>
    </row>
    <row r="152" spans="2:56">
      <c r="B152" t="s">
        <v>503</v>
      </c>
      <c r="C152" t="s">
        <v>475</v>
      </c>
      <c r="AW152">
        <v>13290330</v>
      </c>
      <c r="AX152">
        <v>6222532.5060000001</v>
      </c>
      <c r="AY152">
        <f t="shared" si="828"/>
        <v>19512862.506000001</v>
      </c>
      <c r="AZ152">
        <v>13290330</v>
      </c>
      <c r="BA152">
        <v>6222532.5060000001</v>
      </c>
      <c r="BB152">
        <f t="shared" si="829"/>
        <v>19512862.506000001</v>
      </c>
      <c r="BD152" s="58"/>
    </row>
    <row r="153" spans="2:56">
      <c r="B153" t="s">
        <v>504</v>
      </c>
      <c r="C153" t="s">
        <v>478</v>
      </c>
      <c r="AW153">
        <v>110444846</v>
      </c>
      <c r="AX153">
        <v>221320426.8994</v>
      </c>
      <c r="AY153">
        <f t="shared" si="828"/>
        <v>331765272.8994</v>
      </c>
      <c r="AZ153">
        <v>110444846</v>
      </c>
      <c r="BA153">
        <v>221320426.8994</v>
      </c>
      <c r="BB153">
        <f t="shared" si="829"/>
        <v>331765272.8994</v>
      </c>
      <c r="BD153" s="58"/>
    </row>
    <row r="154" spans="2:56">
      <c r="B154" t="s">
        <v>505</v>
      </c>
      <c r="C154" t="s">
        <v>479</v>
      </c>
      <c r="AW154">
        <v>54796133</v>
      </c>
      <c r="AX154">
        <v>49683653.791100003</v>
      </c>
      <c r="AY154">
        <f t="shared" si="828"/>
        <v>104479786.7911</v>
      </c>
      <c r="AZ154">
        <v>54796133</v>
      </c>
      <c r="BA154">
        <v>49683653.791100003</v>
      </c>
      <c r="BB154">
        <f t="shared" si="829"/>
        <v>104479786.7911</v>
      </c>
      <c r="BD154" s="58"/>
    </row>
    <row r="155" spans="2:56">
      <c r="B155" t="s">
        <v>506</v>
      </c>
      <c r="C155" t="s">
        <v>481</v>
      </c>
      <c r="AW155">
        <v>372927960</v>
      </c>
      <c r="AX155">
        <v>1572189693.7679999</v>
      </c>
      <c r="AY155">
        <f t="shared" si="828"/>
        <v>1945117653.7679999</v>
      </c>
      <c r="AZ155">
        <v>372927960</v>
      </c>
      <c r="BA155">
        <v>1572189693.7679999</v>
      </c>
      <c r="BB155">
        <f t="shared" si="829"/>
        <v>1945117653.7679999</v>
      </c>
      <c r="BD155" s="58"/>
    </row>
    <row r="156" spans="2:56">
      <c r="B156" t="s">
        <v>507</v>
      </c>
      <c r="C156" t="s">
        <v>484</v>
      </c>
      <c r="AW156">
        <v>486122239</v>
      </c>
      <c r="AX156">
        <v>3673285474.5556998</v>
      </c>
      <c r="AY156">
        <f t="shared" si="828"/>
        <v>4159407713.5556998</v>
      </c>
      <c r="AZ156">
        <v>486122239</v>
      </c>
      <c r="BA156">
        <v>3673285474.5556998</v>
      </c>
      <c r="BB156">
        <f t="shared" si="829"/>
        <v>4159407713.5556998</v>
      </c>
      <c r="BD156" s="58"/>
    </row>
    <row r="157" spans="2:56">
      <c r="B157" t="s">
        <v>508</v>
      </c>
      <c r="C157" t="s">
        <v>486</v>
      </c>
      <c r="AW157">
        <v>236714190</v>
      </c>
      <c r="AX157">
        <v>728274876.95400012</v>
      </c>
      <c r="AY157">
        <f t="shared" si="828"/>
        <v>964989066.95400012</v>
      </c>
      <c r="AZ157">
        <v>236714190</v>
      </c>
      <c r="BA157">
        <v>728274876.95400012</v>
      </c>
      <c r="BB157">
        <f t="shared" si="829"/>
        <v>964989066.95400012</v>
      </c>
      <c r="BD157" s="58"/>
    </row>
    <row r="158" spans="2:56">
      <c r="B158" t="s">
        <v>509</v>
      </c>
      <c r="C158" t="s">
        <v>487</v>
      </c>
      <c r="AW158">
        <v>61761098</v>
      </c>
      <c r="AX158">
        <v>80394421.266599998</v>
      </c>
      <c r="AY158">
        <f t="shared" si="828"/>
        <v>142155519.26660001</v>
      </c>
      <c r="AZ158">
        <v>61761098</v>
      </c>
      <c r="BA158">
        <v>80394421.266599998</v>
      </c>
      <c r="BB158">
        <f t="shared" si="829"/>
        <v>142155519.26660001</v>
      </c>
      <c r="BD158" s="58"/>
    </row>
    <row r="159" spans="2:56">
      <c r="B159" t="s">
        <v>510</v>
      </c>
      <c r="C159" t="s">
        <v>488</v>
      </c>
      <c r="AW159">
        <v>235031625</v>
      </c>
      <c r="AX159">
        <v>550608587.88750005</v>
      </c>
      <c r="AY159">
        <f t="shared" si="828"/>
        <v>785640212.88750005</v>
      </c>
      <c r="AZ159">
        <v>235031625</v>
      </c>
      <c r="BA159">
        <v>550608587.88750005</v>
      </c>
      <c r="BB159">
        <f t="shared" si="829"/>
        <v>785640212.88750005</v>
      </c>
      <c r="BD159" s="58"/>
    </row>
    <row r="160" spans="2:56">
      <c r="B160" t="s">
        <v>511</v>
      </c>
      <c r="C160" t="s">
        <v>489</v>
      </c>
      <c r="AW160">
        <v>388555194</v>
      </c>
      <c r="AX160">
        <v>1829123575.7550001</v>
      </c>
      <c r="AY160">
        <f t="shared" si="828"/>
        <v>2217678769.7550001</v>
      </c>
      <c r="AZ160">
        <v>388555194</v>
      </c>
      <c r="BA160">
        <v>1829123575.7550001</v>
      </c>
      <c r="BB160">
        <f t="shared" si="829"/>
        <v>2217678769.7550001</v>
      </c>
      <c r="BD160" s="58"/>
    </row>
  </sheetData>
  <conditionalFormatting sqref="C3">
    <cfRule type="duplicateValues" dxfId="10" priority="26"/>
  </conditionalFormatting>
  <conditionalFormatting sqref="C4">
    <cfRule type="duplicateValues" dxfId="9" priority="27"/>
  </conditionalFormatting>
  <conditionalFormatting sqref="C5:C139">
    <cfRule type="duplicateValues" dxfId="8" priority="28"/>
  </conditionalFormatting>
  <conditionalFormatting sqref="B3:B64 B66:B139">
    <cfRule type="duplicateValues" dxfId="7" priority="5"/>
  </conditionalFormatting>
  <conditionalFormatting sqref="B3:B139">
    <cfRule type="duplicateValues" dxfId="6" priority="4"/>
  </conditionalFormatting>
  <conditionalFormatting sqref="BD3:BD140">
    <cfRule type="cellIs" dxfId="0" priority="1" operator="lessThan">
      <formula>0.1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19" sqref="A19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/>
      <c r="B2" s="7"/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5" sqref="A5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/>
      <c r="B2" s="13"/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sheetPr codeName="Planilha6"/>
  <dimension ref="A1:Y31"/>
  <sheetViews>
    <sheetView zoomScale="120" zoomScaleNormal="120" workbookViewId="0">
      <pane xSplit="1" topLeftCell="B1" activePane="topRight" state="frozen"/>
      <selection pane="topRight" activeCell="F12" sqref="F12"/>
    </sheetView>
  </sheetViews>
  <sheetFormatPr defaultRowHeight="26.25"/>
  <cols>
    <col min="1" max="1" width="13.28515625" style="15" bestFit="1" customWidth="1"/>
    <col min="2" max="2" width="31.5703125" style="15" bestFit="1" customWidth="1"/>
    <col min="3" max="3" width="34.7109375" style="15" bestFit="1" customWidth="1"/>
    <col min="4" max="4" width="36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7" width="13.7109375" style="15" bestFit="1" customWidth="1"/>
    <col min="18" max="18" width="36.7109375" style="15" bestFit="1" customWidth="1"/>
    <col min="19" max="19" width="21.7109375" style="15" bestFit="1" customWidth="1"/>
    <col min="20" max="20" width="13.7109375" style="15" bestFit="1" customWidth="1"/>
    <col min="21" max="21" width="36.7109375" style="15" bestFit="1" customWidth="1"/>
    <col min="22" max="22" width="16.5703125" style="15" bestFit="1" customWidth="1"/>
    <col min="23" max="24" width="9.140625" style="15"/>
    <col min="25" max="25" width="9.5703125" style="15" bestFit="1" customWidth="1"/>
    <col min="26" max="16384" width="9.140625" style="15"/>
  </cols>
  <sheetData>
    <row r="1" spans="1:25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25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25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>(D3/D2)-1</f>
        <v>0.554639948435387</v>
      </c>
      <c r="F3" s="24">
        <f>C28</f>
        <v>9367388175111</v>
      </c>
      <c r="G3" s="26"/>
    </row>
    <row r="4" spans="1:25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>(D4/D3)-1</f>
        <v>0.77930181867813464</v>
      </c>
      <c r="F4" s="24">
        <f>F28</f>
        <v>14423683909608</v>
      </c>
      <c r="G4" s="26">
        <f>(F4/F3)-1</f>
        <v>0.53977647130408202</v>
      </c>
    </row>
    <row r="5" spans="1:25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>(D5/D4)-1</f>
        <v>0.35370417443523472</v>
      </c>
      <c r="F5" s="24">
        <f>I28</f>
        <v>16807977610645</v>
      </c>
      <c r="G5" s="26">
        <f>(F5/F4)-1</f>
        <v>0.16530407321591123</v>
      </c>
      <c r="K5" s="27"/>
    </row>
    <row r="6" spans="1:25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>(D6/D5)-1</f>
        <v>1.0408631567438285</v>
      </c>
      <c r="F6" s="24">
        <f>L28</f>
        <v>23131061313318</v>
      </c>
      <c r="G6" s="25">
        <f>(F6/F5)-1</f>
        <v>0.37619539061429963</v>
      </c>
      <c r="K6" s="27"/>
    </row>
    <row r="7" spans="1:25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>(D7/D6)-1</f>
        <v>0.20232333873223296</v>
      </c>
      <c r="F7" s="24">
        <f>L28</f>
        <v>23131061313318</v>
      </c>
      <c r="G7" s="25"/>
      <c r="H7" s="27"/>
      <c r="K7" s="27"/>
    </row>
    <row r="8" spans="1:25">
      <c r="A8" s="23">
        <v>45706</v>
      </c>
      <c r="B8" s="24">
        <v>88962630662</v>
      </c>
      <c r="C8" s="24">
        <v>856662021218.94739</v>
      </c>
      <c r="D8" s="24">
        <v>945624651880.94702</v>
      </c>
      <c r="E8" s="25">
        <f>(D8/D7)-1</f>
        <v>0.88977923522267077</v>
      </c>
      <c r="F8" s="24">
        <f>O28</f>
        <v>36048693738115</v>
      </c>
      <c r="G8" s="25">
        <f>(F8/F7)-1</f>
        <v>0.55845394423642425</v>
      </c>
      <c r="H8" s="51"/>
      <c r="K8" s="27"/>
    </row>
    <row r="9" spans="1:25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>(D9/D8)-1</f>
        <v>0.10878210012625256</v>
      </c>
      <c r="F9" s="24">
        <f>O28</f>
        <v>36048693738115</v>
      </c>
      <c r="G9" s="25"/>
      <c r="H9" s="51"/>
      <c r="K9" s="27"/>
    </row>
    <row r="10" spans="1:25">
      <c r="A10" s="23">
        <v>45716</v>
      </c>
      <c r="B10" s="24">
        <v>106809970225</v>
      </c>
      <c r="C10" s="24">
        <v>1032447476167.4863</v>
      </c>
      <c r="D10" s="24">
        <v>1139257446392.4861</v>
      </c>
      <c r="E10" s="25">
        <f>(D10/D9)-1</f>
        <v>8.6567933762131677E-2</v>
      </c>
      <c r="F10" s="24">
        <f>R28</f>
        <v>38264633667438</v>
      </c>
      <c r="G10" s="25">
        <f>(F10/F9)-1</f>
        <v>6.1470741365034387E-2</v>
      </c>
      <c r="K10" s="27"/>
    </row>
    <row r="11" spans="1:25">
      <c r="A11" s="23">
        <v>45716</v>
      </c>
      <c r="B11" s="24">
        <v>106935090813</v>
      </c>
      <c r="C11" s="24">
        <v>1032598509229.2611</v>
      </c>
      <c r="D11" s="24">
        <v>1139533600042.261</v>
      </c>
      <c r="E11" s="25">
        <f>(D11/D10)-1</f>
        <v>2.423979326615644E-4</v>
      </c>
      <c r="F11" s="24">
        <f>R28</f>
        <v>38264633667438</v>
      </c>
      <c r="G11" s="25">
        <f>(F11/F9)-1</f>
        <v>6.1470741365034387E-2</v>
      </c>
      <c r="K11" s="27"/>
    </row>
    <row r="12" spans="1:25">
      <c r="A12" s="23">
        <v>45747</v>
      </c>
      <c r="B12" s="28">
        <v>126984601997</v>
      </c>
      <c r="C12" s="28">
        <v>1392670498822.416</v>
      </c>
      <c r="D12" s="28">
        <v>1519655100819.4163</v>
      </c>
      <c r="E12" s="29">
        <f>(D12/D11)-1</f>
        <v>0.33357638665771505</v>
      </c>
      <c r="F12" s="24">
        <f>U28</f>
        <v>49490625280020</v>
      </c>
      <c r="G12" s="25">
        <f>(F12/F10)-1</f>
        <v>0.29337773647980758</v>
      </c>
      <c r="K12" s="27"/>
    </row>
    <row r="13" spans="1:25">
      <c r="A13" s="30" t="s">
        <v>188</v>
      </c>
      <c r="B13" s="31">
        <f>B10-B9</f>
        <v>6094568082</v>
      </c>
      <c r="C13" s="31">
        <f t="shared" ref="C13:D13" si="0">C10-C9</f>
        <v>84671190866.773315</v>
      </c>
      <c r="D13" s="31">
        <f t="shared" si="0"/>
        <v>90765758948.773071</v>
      </c>
      <c r="E13" s="32"/>
      <c r="F13" s="31">
        <f>F12-F11</f>
        <v>11225991612582</v>
      </c>
      <c r="G13" s="33"/>
    </row>
    <row r="14" spans="1:25">
      <c r="D14" s="52"/>
    </row>
    <row r="15" spans="1:25">
      <c r="B15" s="54">
        <v>45599</v>
      </c>
      <c r="C15" s="55"/>
      <c r="D15" s="56"/>
      <c r="E15" s="55">
        <v>45627</v>
      </c>
      <c r="F15" s="55"/>
      <c r="G15" s="56"/>
      <c r="H15" s="55">
        <v>45636</v>
      </c>
      <c r="I15" s="55"/>
      <c r="J15" s="56"/>
      <c r="K15" s="55">
        <v>45669</v>
      </c>
      <c r="L15" s="55"/>
      <c r="M15" s="56"/>
      <c r="N15" s="55">
        <v>45706</v>
      </c>
      <c r="O15" s="55"/>
      <c r="P15" s="56"/>
      <c r="Q15" s="55" t="s">
        <v>453</v>
      </c>
      <c r="R15" s="55"/>
      <c r="S15" s="56"/>
      <c r="T15" s="55">
        <v>45747</v>
      </c>
      <c r="U15" s="55"/>
      <c r="V15" s="56"/>
      <c r="W15" s="34"/>
      <c r="X15" s="53" t="s">
        <v>186</v>
      </c>
      <c r="Y15" s="53"/>
    </row>
    <row r="16" spans="1:25">
      <c r="A16" s="35" t="s">
        <v>180</v>
      </c>
      <c r="B16" s="36" t="s">
        <v>181</v>
      </c>
      <c r="C16" s="37" t="s">
        <v>179</v>
      </c>
      <c r="D16" s="38" t="s">
        <v>182</v>
      </c>
      <c r="E16" s="37" t="s">
        <v>181</v>
      </c>
      <c r="F16" s="37" t="s">
        <v>179</v>
      </c>
      <c r="G16" s="38" t="s">
        <v>182</v>
      </c>
      <c r="H16" s="37" t="s">
        <v>181</v>
      </c>
      <c r="I16" s="37" t="s">
        <v>179</v>
      </c>
      <c r="J16" s="38" t="s">
        <v>182</v>
      </c>
      <c r="K16" s="37" t="s">
        <v>181</v>
      </c>
      <c r="L16" s="37" t="s">
        <v>179</v>
      </c>
      <c r="M16" s="38" t="s">
        <v>182</v>
      </c>
      <c r="N16" s="37" t="s">
        <v>181</v>
      </c>
      <c r="O16" s="37" t="s">
        <v>179</v>
      </c>
      <c r="P16" s="38" t="s">
        <v>182</v>
      </c>
      <c r="Q16" s="37" t="s">
        <v>181</v>
      </c>
      <c r="R16" s="37" t="s">
        <v>179</v>
      </c>
      <c r="S16" s="38" t="s">
        <v>182</v>
      </c>
      <c r="T16" s="37" t="s">
        <v>181</v>
      </c>
      <c r="U16" s="37" t="s">
        <v>179</v>
      </c>
      <c r="V16" s="38" t="s">
        <v>182</v>
      </c>
      <c r="X16" s="15" t="s">
        <v>181</v>
      </c>
      <c r="Y16" s="15" t="s">
        <v>187</v>
      </c>
    </row>
    <row r="17" spans="1:25">
      <c r="A17" s="39" t="s">
        <v>168</v>
      </c>
      <c r="B17" s="40">
        <v>30</v>
      </c>
      <c r="C17" s="24">
        <v>1548603167792</v>
      </c>
      <c r="D17" s="41"/>
      <c r="E17" s="15">
        <v>30</v>
      </c>
      <c r="F17" s="24">
        <v>1502097804235</v>
      </c>
      <c r="G17" s="41"/>
      <c r="H17" s="15">
        <v>30</v>
      </c>
      <c r="I17" s="24">
        <v>1759290107250</v>
      </c>
      <c r="J17" s="41"/>
      <c r="K17" s="15">
        <v>30</v>
      </c>
      <c r="L17" s="24">
        <v>2221994435332</v>
      </c>
      <c r="M17" s="41"/>
      <c r="N17" s="15">
        <v>30</v>
      </c>
      <c r="O17" s="24">
        <v>3712537173404</v>
      </c>
      <c r="P17" s="41"/>
      <c r="Q17" s="15">
        <v>30</v>
      </c>
      <c r="R17" s="24">
        <v>4031303977634</v>
      </c>
      <c r="S17" s="41"/>
      <c r="T17" s="15">
        <v>30</v>
      </c>
      <c r="U17" s="24">
        <v>4760460651400</v>
      </c>
      <c r="V17" s="41"/>
      <c r="W17" s="42"/>
      <c r="X17" s="27">
        <f>(T17/N17)-1</f>
        <v>0</v>
      </c>
      <c r="Y17" s="27"/>
    </row>
    <row r="18" spans="1:25">
      <c r="A18" s="39" t="s">
        <v>169</v>
      </c>
      <c r="B18" s="40">
        <v>250</v>
      </c>
      <c r="C18" s="24">
        <v>208697426935</v>
      </c>
      <c r="D18" s="41"/>
      <c r="E18" s="15">
        <v>250</v>
      </c>
      <c r="F18" s="24">
        <v>206167253798</v>
      </c>
      <c r="G18" s="41"/>
      <c r="H18" s="15">
        <v>250</v>
      </c>
      <c r="I18" s="24">
        <v>125932215358</v>
      </c>
      <c r="J18" s="41"/>
      <c r="K18" s="15">
        <v>250</v>
      </c>
      <c r="L18" s="24">
        <v>306750926247</v>
      </c>
      <c r="M18" s="41"/>
      <c r="N18" s="15">
        <v>250</v>
      </c>
      <c r="O18" s="24">
        <v>347432195502</v>
      </c>
      <c r="P18" s="41"/>
      <c r="Q18" s="15">
        <v>250</v>
      </c>
      <c r="R18" s="24">
        <v>741901348714</v>
      </c>
      <c r="S18" s="41"/>
      <c r="T18" s="15">
        <v>250</v>
      </c>
      <c r="U18" s="24">
        <v>698461969708</v>
      </c>
      <c r="V18" s="41"/>
      <c r="W18" s="42"/>
      <c r="X18" s="27">
        <f>(T18/N18)-1</f>
        <v>0</v>
      </c>
      <c r="Y18" s="27"/>
    </row>
    <row r="19" spans="1:25">
      <c r="A19" s="39" t="s">
        <v>177</v>
      </c>
      <c r="B19" s="40">
        <v>0</v>
      </c>
      <c r="C19" s="24">
        <v>0</v>
      </c>
      <c r="D19" s="41">
        <v>0</v>
      </c>
      <c r="E19" s="15">
        <v>12</v>
      </c>
      <c r="F19" s="24">
        <v>1118898900974</v>
      </c>
      <c r="G19" s="41">
        <v>28.32</v>
      </c>
      <c r="H19" s="15">
        <v>12</v>
      </c>
      <c r="I19" s="24">
        <v>1702738907169</v>
      </c>
      <c r="J19" s="41">
        <f>H19*2.17</f>
        <v>26.04</v>
      </c>
      <c r="K19" s="15">
        <v>12</v>
      </c>
      <c r="L19" s="24">
        <v>2726215768426</v>
      </c>
      <c r="M19" s="41">
        <f>K19*2.52</f>
        <v>30.240000000000002</v>
      </c>
      <c r="N19" s="15">
        <v>7</v>
      </c>
      <c r="O19" s="24">
        <v>2996259376740</v>
      </c>
      <c r="P19" s="41">
        <f>N19*2.56</f>
        <v>17.920000000000002</v>
      </c>
      <c r="Q19" s="15">
        <v>6</v>
      </c>
      <c r="R19" s="24">
        <v>2515129239167</v>
      </c>
      <c r="S19" s="41">
        <v>13.080000000000002</v>
      </c>
      <c r="T19" s="15">
        <v>5</v>
      </c>
      <c r="U19" s="24">
        <v>3316015750111</v>
      </c>
      <c r="V19" s="41">
        <f>T19*2.11</f>
        <v>10.549999999999999</v>
      </c>
      <c r="W19" s="42"/>
      <c r="X19" s="27">
        <f>(T19/N19)-1</f>
        <v>-0.2857142857142857</v>
      </c>
      <c r="Y19" s="27">
        <f>(V19/P19)-1</f>
        <v>-0.41127232142857151</v>
      </c>
    </row>
    <row r="20" spans="1:25">
      <c r="A20" s="39" t="s">
        <v>170</v>
      </c>
      <c r="B20" s="40">
        <v>80</v>
      </c>
      <c r="C20" s="24">
        <v>1297662855427</v>
      </c>
      <c r="D20" s="41">
        <v>13.600000000000001</v>
      </c>
      <c r="E20" s="15">
        <v>80</v>
      </c>
      <c r="F20" s="24">
        <v>1302568301015</v>
      </c>
      <c r="G20" s="41">
        <v>16.8</v>
      </c>
      <c r="H20" s="15">
        <v>80</v>
      </c>
      <c r="I20" s="24">
        <v>1634983755968</v>
      </c>
      <c r="J20" s="41">
        <f>H20*0.26</f>
        <v>20.8</v>
      </c>
      <c r="K20" s="15">
        <v>75</v>
      </c>
      <c r="L20" s="24">
        <v>2205346731062</v>
      </c>
      <c r="M20" s="41">
        <f>K20*0.23</f>
        <v>17.25</v>
      </c>
      <c r="N20" s="15">
        <v>75</v>
      </c>
      <c r="O20" s="24">
        <v>3587873360328</v>
      </c>
      <c r="P20" s="41">
        <f>N20*0.24</f>
        <v>18</v>
      </c>
      <c r="Q20" s="15">
        <v>75</v>
      </c>
      <c r="R20" s="24">
        <v>4284699349743</v>
      </c>
      <c r="S20" s="41">
        <v>17.6325</v>
      </c>
      <c r="T20" s="15">
        <v>70</v>
      </c>
      <c r="U20" s="24">
        <v>5767044956936</v>
      </c>
      <c r="V20" s="41">
        <f>T20*0.24</f>
        <v>16.8</v>
      </c>
      <c r="W20" s="42"/>
      <c r="X20" s="27">
        <f>(T20/N20)-1</f>
        <v>-6.6666666666666652E-2</v>
      </c>
      <c r="Y20" s="27">
        <f>(V20/P20)-1</f>
        <v>-6.6666666666666652E-2</v>
      </c>
    </row>
    <row r="21" spans="1:25">
      <c r="A21" s="39" t="s">
        <v>171</v>
      </c>
      <c r="B21" s="40">
        <v>130</v>
      </c>
      <c r="C21" s="24">
        <v>2047287373871</v>
      </c>
      <c r="D21" s="41">
        <v>19.5</v>
      </c>
      <c r="E21" s="15">
        <v>60</v>
      </c>
      <c r="F21" s="24">
        <v>2012167325881</v>
      </c>
      <c r="G21" s="41">
        <v>25.2</v>
      </c>
      <c r="H21" s="15">
        <v>50</v>
      </c>
      <c r="I21" s="24">
        <v>1772464005566</v>
      </c>
      <c r="J21" s="41">
        <f>H21*0.4</f>
        <v>20</v>
      </c>
      <c r="K21" s="15">
        <v>54</v>
      </c>
      <c r="L21" s="24">
        <v>2253461445694</v>
      </c>
      <c r="M21" s="41">
        <f>K21*0.34</f>
        <v>18.360000000000003</v>
      </c>
      <c r="N21" s="15">
        <v>90</v>
      </c>
      <c r="O21" s="24">
        <v>4607877607142</v>
      </c>
      <c r="P21" s="41">
        <f>N21*0.25</f>
        <v>22.5</v>
      </c>
      <c r="Q21" s="15">
        <v>90</v>
      </c>
      <c r="R21" s="24">
        <v>4641108536400</v>
      </c>
      <c r="S21" s="41">
        <v>18.459</v>
      </c>
      <c r="T21" s="15">
        <v>100</v>
      </c>
      <c r="U21" s="24">
        <v>5931694899176</v>
      </c>
      <c r="V21" s="41">
        <f>T21*0.17</f>
        <v>17</v>
      </c>
      <c r="W21" s="42"/>
      <c r="X21" s="27">
        <f>(T21/N21)-1</f>
        <v>0.11111111111111116</v>
      </c>
      <c r="Y21" s="27">
        <f>(V21/P21)-1</f>
        <v>-0.24444444444444446</v>
      </c>
    </row>
    <row r="22" spans="1:25">
      <c r="A22" s="39" t="s">
        <v>172</v>
      </c>
      <c r="B22" s="40">
        <v>2.0000000000000001E-4</v>
      </c>
      <c r="C22" s="24">
        <v>12085680872</v>
      </c>
      <c r="D22" s="41">
        <v>13.746352</v>
      </c>
      <c r="E22" s="15">
        <v>2.2000000000000001E-4</v>
      </c>
      <c r="F22" s="24">
        <v>1704527581437</v>
      </c>
      <c r="G22" s="41">
        <v>21.222341800000002</v>
      </c>
      <c r="H22" s="15">
        <v>2.2000000000000001E-4</v>
      </c>
      <c r="I22" s="24">
        <v>1825404392412</v>
      </c>
      <c r="J22" s="41">
        <f>H22*97077.3</f>
        <v>21.357006000000002</v>
      </c>
      <c r="K22" s="15">
        <v>2.0000000000000001E-4</v>
      </c>
      <c r="L22" s="24">
        <v>2330547934306</v>
      </c>
      <c r="M22" s="41">
        <f>K22*94368.95</f>
        <v>18.87379</v>
      </c>
      <c r="N22" s="15">
        <v>2.0000000000000001E-4</v>
      </c>
      <c r="O22" s="24">
        <v>3823757903860</v>
      </c>
      <c r="P22" s="41">
        <f>N22*95583.88</f>
        <v>19.116776000000002</v>
      </c>
      <c r="Q22" s="15">
        <v>2.0000000000000001E-4</v>
      </c>
      <c r="R22" s="24">
        <v>4164558593231</v>
      </c>
      <c r="S22" s="41">
        <v>16.989226000000002</v>
      </c>
      <c r="T22" s="15">
        <v>2.0000000000000001E-4</v>
      </c>
      <c r="U22" s="24">
        <v>5975213006289</v>
      </c>
      <c r="V22" s="41">
        <f>T22*82932.58</f>
        <v>16.586516</v>
      </c>
      <c r="W22" s="42"/>
      <c r="X22" s="27">
        <f>(T22/N22)-1</f>
        <v>0</v>
      </c>
      <c r="Y22" s="27">
        <f>(V22/P22)-1</f>
        <v>-0.13235809218039707</v>
      </c>
    </row>
    <row r="23" spans="1:25">
      <c r="A23" s="39" t="s">
        <v>173</v>
      </c>
      <c r="B23" s="40">
        <v>1.8E-3</v>
      </c>
      <c r="C23" s="24">
        <v>479952872411</v>
      </c>
      <c r="D23" s="41">
        <v>4.4214120000000001</v>
      </c>
      <c r="E23" s="15">
        <v>6.0000000000000001E-3</v>
      </c>
      <c r="F23" s="24">
        <v>1720775968166</v>
      </c>
      <c r="G23" s="41">
        <v>22.238040000000002</v>
      </c>
      <c r="H23" s="15">
        <v>6.0000000000000001E-3</v>
      </c>
      <c r="I23" s="24">
        <v>1622701741665</v>
      </c>
      <c r="J23" s="41">
        <f>H23*3709.17</f>
        <v>22.255020000000002</v>
      </c>
      <c r="K23" s="15">
        <v>5.4999999999999997E-3</v>
      </c>
      <c r="L23" s="24">
        <v>2280837794775</v>
      </c>
      <c r="M23" s="41">
        <f>K23*3266.09</f>
        <v>17.963494999999998</v>
      </c>
      <c r="N23" s="15">
        <v>7.0000000000000001E-3</v>
      </c>
      <c r="O23" s="24">
        <v>3705142613799</v>
      </c>
      <c r="P23" s="41">
        <f>N23*2682.58</f>
        <v>18.77806</v>
      </c>
      <c r="Q23" s="15">
        <v>7.0000000000000001E-3</v>
      </c>
      <c r="R23" s="24">
        <v>4210897636962</v>
      </c>
      <c r="S23" s="41">
        <v>15.75539</v>
      </c>
      <c r="T23" s="15">
        <v>7.0000000000000001E-3</v>
      </c>
      <c r="U23" s="24">
        <v>4572495878556</v>
      </c>
      <c r="V23" s="41">
        <f>T23*1836.12</f>
        <v>12.852839999999999</v>
      </c>
      <c r="W23" s="42"/>
      <c r="X23" s="27">
        <f>(T23/N23)-1</f>
        <v>0</v>
      </c>
      <c r="Y23" s="27">
        <f>(V23/P23)-1</f>
        <v>-0.31553951792677204</v>
      </c>
    </row>
    <row r="24" spans="1:25">
      <c r="A24" s="39" t="s">
        <v>174</v>
      </c>
      <c r="B24" s="40">
        <v>2.8000000000000001E-2</v>
      </c>
      <c r="C24" s="24">
        <v>1223789587623</v>
      </c>
      <c r="D24" s="41">
        <v>15.62372</v>
      </c>
      <c r="E24" s="15">
        <v>2.5000000000000001E-2</v>
      </c>
      <c r="F24" s="24">
        <v>1247222939191</v>
      </c>
      <c r="G24" s="41">
        <v>16.365000000000002</v>
      </c>
      <c r="H24" s="15">
        <v>2.5999999999999999E-2</v>
      </c>
      <c r="I24" s="24">
        <v>1418667829635</v>
      </c>
      <c r="J24" s="41">
        <f>H24*691.86</f>
        <v>17.98836</v>
      </c>
      <c r="K24" s="15">
        <v>2.5000000000000001E-2</v>
      </c>
      <c r="L24" s="24">
        <v>2298815415687</v>
      </c>
      <c r="M24" s="41">
        <f>K24*693.25</f>
        <v>17.331250000000001</v>
      </c>
      <c r="N24" s="15">
        <v>2.4E-2</v>
      </c>
      <c r="O24" s="24">
        <v>3037893397306</v>
      </c>
      <c r="P24" s="41">
        <f>N24*644.85</f>
        <v>15.476400000000002</v>
      </c>
      <c r="Q24" s="15">
        <v>2.9000000000000001E-2</v>
      </c>
      <c r="R24" s="24">
        <v>3981494827259</v>
      </c>
      <c r="S24" s="41">
        <v>17.15408</v>
      </c>
      <c r="T24" s="15">
        <v>2.9000000000000001E-2</v>
      </c>
      <c r="U24" s="24">
        <v>5967381223436</v>
      </c>
      <c r="V24" s="41">
        <f>T24*607.07</f>
        <v>17.605030000000003</v>
      </c>
      <c r="W24" s="42"/>
      <c r="X24" s="27">
        <f>(T24/N24)-1</f>
        <v>0.20833333333333326</v>
      </c>
      <c r="Y24" s="27">
        <f>(V24/P24)-1</f>
        <v>0.13754038406864644</v>
      </c>
    </row>
    <row r="25" spans="1:25">
      <c r="A25" s="39" t="s">
        <v>175</v>
      </c>
      <c r="B25" s="40">
        <v>9</v>
      </c>
      <c r="C25" s="24">
        <v>435521914006</v>
      </c>
      <c r="D25" s="41">
        <v>2.61</v>
      </c>
      <c r="E25" s="15">
        <v>35</v>
      </c>
      <c r="F25" s="24">
        <v>1042715534192</v>
      </c>
      <c r="G25" s="41">
        <v>21</v>
      </c>
      <c r="H25" s="15">
        <v>32</v>
      </c>
      <c r="I25" s="24">
        <v>1442402830997</v>
      </c>
      <c r="J25" s="41">
        <f>H25*0.58</f>
        <v>18.559999999999999</v>
      </c>
      <c r="K25" s="15">
        <v>35</v>
      </c>
      <c r="L25" s="24">
        <v>1973976180061</v>
      </c>
      <c r="M25" s="41">
        <f>K25*0.45</f>
        <v>15.75</v>
      </c>
      <c r="N25" s="15">
        <v>60</v>
      </c>
      <c r="O25" s="24">
        <v>3523844655366</v>
      </c>
      <c r="P25" s="41">
        <f>N25*0.301</f>
        <v>18.059999999999999</v>
      </c>
      <c r="Q25" s="15">
        <v>49</v>
      </c>
      <c r="R25" s="24">
        <v>2831266229994</v>
      </c>
      <c r="S25" s="41">
        <v>13.3574</v>
      </c>
      <c r="T25" s="15">
        <v>47</v>
      </c>
      <c r="U25" s="24">
        <v>3188638639413</v>
      </c>
      <c r="V25" s="41">
        <f>T25*0.2</f>
        <v>9.4</v>
      </c>
      <c r="W25" s="42"/>
      <c r="X25" s="27">
        <f>(T25/N25)-1</f>
        <v>-0.21666666666666667</v>
      </c>
      <c r="Y25" s="27">
        <f>(V25/P25)-1</f>
        <v>-0.47951273532668881</v>
      </c>
    </row>
    <row r="26" spans="1:25">
      <c r="A26" s="39" t="s">
        <v>176</v>
      </c>
      <c r="B26" s="40">
        <v>0.08</v>
      </c>
      <c r="C26" s="24">
        <v>1087209850989</v>
      </c>
      <c r="D26" s="41">
        <v>12.9968</v>
      </c>
      <c r="E26" s="15">
        <v>0.08</v>
      </c>
      <c r="F26" s="24">
        <v>1052273875232</v>
      </c>
      <c r="G26" s="41">
        <v>19.0184</v>
      </c>
      <c r="H26" s="15">
        <v>0.1</v>
      </c>
      <c r="I26" s="24">
        <v>1574349133827</v>
      </c>
      <c r="J26" s="41">
        <f>H26*213.75</f>
        <v>21.375</v>
      </c>
      <c r="K26" s="15">
        <v>0.11</v>
      </c>
      <c r="L26" s="24">
        <v>2026932602116</v>
      </c>
      <c r="M26" s="41">
        <f>K26*188.3</f>
        <v>20.713000000000001</v>
      </c>
      <c r="N26" s="15">
        <v>0.11</v>
      </c>
      <c r="O26" s="24">
        <v>3573372109642</v>
      </c>
      <c r="P26" s="41">
        <f>N26*169.06</f>
        <v>18.596599999999999</v>
      </c>
      <c r="Q26" s="15">
        <v>0.12</v>
      </c>
      <c r="R26" s="24">
        <v>3503856453714</v>
      </c>
      <c r="S26" s="41">
        <v>17.595599999999997</v>
      </c>
      <c r="T26" s="15">
        <v>0.12</v>
      </c>
      <c r="U26" s="24">
        <v>5151886792657</v>
      </c>
      <c r="V26" s="41">
        <f>T26*126.03</f>
        <v>15.1236</v>
      </c>
      <c r="W26" s="42"/>
      <c r="X26" s="27">
        <f>(T26/N26)-1</f>
        <v>9.0909090909090828E-2</v>
      </c>
      <c r="Y26" s="27">
        <f>(V26/P26)-1</f>
        <v>-0.186754568039319</v>
      </c>
    </row>
    <row r="27" spans="1:25">
      <c r="A27" s="39" t="s">
        <v>178</v>
      </c>
      <c r="B27" s="40">
        <v>0.24</v>
      </c>
      <c r="C27" s="24">
        <v>1026577445185</v>
      </c>
      <c r="D27" s="41">
        <v>16.041599999999999</v>
      </c>
      <c r="E27" s="15">
        <v>0.3</v>
      </c>
      <c r="F27" s="24">
        <v>1514268425487</v>
      </c>
      <c r="G27" s="41">
        <v>30.839999999999996</v>
      </c>
      <c r="H27" s="15">
        <v>0.3</v>
      </c>
      <c r="I27" s="24">
        <v>1929042690798</v>
      </c>
      <c r="J27" s="41">
        <f>H27*109.91</f>
        <v>32.972999999999999</v>
      </c>
      <c r="K27" s="15">
        <v>0.28000000000000003</v>
      </c>
      <c r="L27" s="24">
        <v>2506182079612</v>
      </c>
      <c r="M27" s="41">
        <f>K27*102.45</f>
        <v>28.686000000000003</v>
      </c>
      <c r="N27" s="15">
        <v>0.15</v>
      </c>
      <c r="O27" s="24">
        <v>3132703345026</v>
      </c>
      <c r="P27" s="41">
        <f>N27*132.08</f>
        <v>19.812000000000001</v>
      </c>
      <c r="Q27" s="15">
        <v>0.15</v>
      </c>
      <c r="R27" s="24">
        <v>3358417474620</v>
      </c>
      <c r="S27" s="41">
        <v>19.252499999999998</v>
      </c>
      <c r="T27" s="15">
        <v>0.15</v>
      </c>
      <c r="U27" s="24">
        <v>4161331512338</v>
      </c>
      <c r="V27" s="41">
        <f>T27*83.75</f>
        <v>12.5625</v>
      </c>
      <c r="W27" s="42"/>
      <c r="X27" s="27">
        <f>(T27/N27)-1</f>
        <v>0</v>
      </c>
      <c r="Y27" s="27">
        <f>(V27/P27)-1</f>
        <v>-0.36591459721380981</v>
      </c>
    </row>
    <row r="28" spans="1:25">
      <c r="A28" s="35" t="s">
        <v>183</v>
      </c>
      <c r="B28" s="43"/>
      <c r="C28" s="31">
        <f>SUM(C17:C27)</f>
        <v>9367388175111</v>
      </c>
      <c r="D28" s="44">
        <f>SUM(D19:D27)</f>
        <v>98.539884000000015</v>
      </c>
      <c r="E28" s="45"/>
      <c r="F28" s="31">
        <f>SUM(F17:F27)</f>
        <v>14423683909608</v>
      </c>
      <c r="G28" s="44">
        <f>SUM(G19:G27)</f>
        <v>201.00378179999998</v>
      </c>
      <c r="H28" s="45"/>
      <c r="I28" s="31">
        <f>SUM(I17:I27)</f>
        <v>16807977610645</v>
      </c>
      <c r="J28" s="44">
        <f>SUM(J19:J27)</f>
        <v>201.348386</v>
      </c>
      <c r="K28" s="45"/>
      <c r="L28" s="31">
        <f>SUM(L17:L27)</f>
        <v>23131061313318</v>
      </c>
      <c r="M28" s="44">
        <f>SUM(M19:M27)</f>
        <v>185.16753499999999</v>
      </c>
      <c r="N28" s="45"/>
      <c r="O28" s="31">
        <f>SUM(O17:O27)</f>
        <v>36048693738115</v>
      </c>
      <c r="P28" s="44">
        <f>SUM(P19:P27)</f>
        <v>168.25983600000001</v>
      </c>
      <c r="Q28" s="45"/>
      <c r="R28" s="31">
        <f>SUM(R17:R27)</f>
        <v>38264633667438</v>
      </c>
      <c r="S28" s="44">
        <f>SUM(S19:S27)</f>
        <v>149.27569600000001</v>
      </c>
      <c r="T28" s="45"/>
      <c r="U28" s="31">
        <f>SUM(U17:U27)</f>
        <v>49490625280020</v>
      </c>
      <c r="V28" s="44">
        <f>SUM(V19:V27)</f>
        <v>128.48048599999998</v>
      </c>
      <c r="W28" s="42"/>
      <c r="X28" s="46">
        <f>AVERAGE(X17:X27)</f>
        <v>-1.4426734881280344E-2</v>
      </c>
      <c r="Y28" s="47">
        <f>(V28/P28)-1</f>
        <v>-0.23641619382060985</v>
      </c>
    </row>
    <row r="31" spans="1:25">
      <c r="J31" s="48"/>
    </row>
  </sheetData>
  <mergeCells count="8">
    <mergeCell ref="X15:Y15"/>
    <mergeCell ref="B15:D15"/>
    <mergeCell ref="H15:J15"/>
    <mergeCell ref="K15:M15"/>
    <mergeCell ref="E15:G15"/>
    <mergeCell ref="N15:P15"/>
    <mergeCell ref="T15:V15"/>
    <mergeCell ref="Q15:S15"/>
  </mergeCells>
  <conditionalFormatting sqref="X17:X28">
    <cfRule type="cellIs" dxfId="16" priority="3" operator="lessThan">
      <formula>0</formula>
    </cfRule>
    <cfRule type="cellIs" dxfId="15" priority="4" operator="greaterThan">
      <formula>0</formula>
    </cfRule>
  </conditionalFormatting>
  <conditionalFormatting sqref="Y17:Y28">
    <cfRule type="cellIs" dxfId="14" priority="1" operator="greaterThan">
      <formula>0</formula>
    </cfRule>
    <cfRule type="cellIs" dxfId="13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2025-04-01T03:12:10Z</dcterms:modified>
</cp:coreProperties>
</file>