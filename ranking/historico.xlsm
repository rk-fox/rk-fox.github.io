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D09E75C1-33CA-4A44-8472-831224C7FB4F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Planilha1!$A$1:$E$138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3" i="3" l="1"/>
  <c r="AX4" i="3"/>
  <c r="AX5" i="3"/>
  <c r="AX6" i="3"/>
  <c r="AX7" i="3"/>
  <c r="AX8" i="3"/>
  <c r="AX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AX101" i="3"/>
  <c r="AX102" i="3"/>
  <c r="AX103" i="3"/>
  <c r="AX104" i="3"/>
  <c r="AX105" i="3"/>
  <c r="AX106" i="3"/>
  <c r="AX107" i="3"/>
  <c r="AX108" i="3"/>
  <c r="AX109" i="3"/>
  <c r="AX110" i="3"/>
  <c r="AX111" i="3"/>
  <c r="AX112" i="3"/>
  <c r="AX113" i="3"/>
  <c r="AX114" i="3"/>
  <c r="AX115" i="3"/>
  <c r="AX116" i="3"/>
  <c r="AX117" i="3"/>
  <c r="AX118" i="3"/>
  <c r="AX119" i="3"/>
  <c r="AX120" i="3"/>
  <c r="AX121" i="3"/>
  <c r="AX122" i="3"/>
  <c r="AX123" i="3"/>
  <c r="AX124" i="3"/>
  <c r="AX125" i="3"/>
  <c r="AX126" i="3"/>
  <c r="AX127" i="3"/>
  <c r="AX128" i="3"/>
  <c r="AX129" i="3"/>
  <c r="AX130" i="3"/>
  <c r="AX131" i="3"/>
  <c r="AX132" i="3"/>
  <c r="AX133" i="3"/>
  <c r="AX134" i="3"/>
  <c r="AX135" i="3"/>
  <c r="AX136" i="3"/>
  <c r="AX137" i="3"/>
  <c r="AX138" i="3"/>
  <c r="AX139" i="3"/>
  <c r="F12" i="6"/>
  <c r="D12" i="6"/>
  <c r="C12" i="6"/>
  <c r="B12" i="6"/>
  <c r="AV140" i="3"/>
  <c r="AS140" i="3"/>
  <c r="AP140" i="3"/>
  <c r="AM140" i="3"/>
  <c r="AJ140" i="3"/>
  <c r="AG140" i="3"/>
  <c r="AD140" i="3"/>
  <c r="AA140" i="3"/>
  <c r="X140" i="3"/>
  <c r="U140" i="3"/>
  <c r="R140" i="3"/>
  <c r="O140" i="3"/>
  <c r="L140" i="3"/>
  <c r="I140" i="3"/>
  <c r="F11" i="6"/>
  <c r="G10" i="6"/>
  <c r="R27" i="6"/>
  <c r="F10" i="6" s="1"/>
  <c r="U26" i="6"/>
  <c r="U25" i="6"/>
  <c r="U24" i="6"/>
  <c r="U23" i="6"/>
  <c r="U22" i="6"/>
  <c r="U21" i="6"/>
  <c r="U20" i="6"/>
  <c r="U19" i="6"/>
  <c r="U18" i="6"/>
  <c r="U17" i="6"/>
  <c r="U16" i="6"/>
  <c r="U27" i="6" s="1"/>
  <c r="E10" i="6"/>
  <c r="F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E9" i="6"/>
  <c r="S27" i="6" l="1"/>
  <c r="AJ65" i="3"/>
  <c r="AM65" i="3"/>
  <c r="AP65" i="3"/>
  <c r="AS65" i="3"/>
  <c r="O27" i="6"/>
  <c r="L27" i="6"/>
  <c r="F7" i="6" s="1"/>
  <c r="I27" i="6"/>
  <c r="F5" i="6" s="1"/>
  <c r="G27" i="6"/>
  <c r="F27" i="6"/>
  <c r="F4" i="6" s="1"/>
  <c r="D27" i="6"/>
  <c r="C27" i="6"/>
  <c r="F3" i="6" s="1"/>
  <c r="P26" i="6"/>
  <c r="V26" i="6" s="1"/>
  <c r="M26" i="6"/>
  <c r="J26" i="6"/>
  <c r="P25" i="6"/>
  <c r="V25" i="6" s="1"/>
  <c r="M25" i="6"/>
  <c r="J25" i="6"/>
  <c r="P24" i="6"/>
  <c r="V24" i="6" s="1"/>
  <c r="M24" i="6"/>
  <c r="J24" i="6"/>
  <c r="P23" i="6"/>
  <c r="V23" i="6" s="1"/>
  <c r="M23" i="6"/>
  <c r="J23" i="6"/>
  <c r="P22" i="6"/>
  <c r="V22" i="6" s="1"/>
  <c r="M22" i="6"/>
  <c r="J22" i="6"/>
  <c r="P21" i="6"/>
  <c r="V21" i="6" s="1"/>
  <c r="M21" i="6"/>
  <c r="J21" i="6"/>
  <c r="P20" i="6"/>
  <c r="V20" i="6" s="1"/>
  <c r="M20" i="6"/>
  <c r="J20" i="6"/>
  <c r="P19" i="6"/>
  <c r="V19" i="6" s="1"/>
  <c r="M19" i="6"/>
  <c r="J19" i="6"/>
  <c r="P18" i="6"/>
  <c r="V18" i="6" s="1"/>
  <c r="M18" i="6"/>
  <c r="J18" i="6"/>
  <c r="E8" i="6"/>
  <c r="E7" i="6"/>
  <c r="E6" i="6"/>
  <c r="E5" i="6"/>
  <c r="E4" i="6"/>
  <c r="E3" i="6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F115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3" i="3"/>
  <c r="F8" i="6" l="1"/>
  <c r="F9" i="6"/>
  <c r="J27" i="6"/>
  <c r="M27" i="6"/>
  <c r="P27" i="6"/>
  <c r="V27" i="6" s="1"/>
  <c r="F6" i="6"/>
  <c r="G4" i="6"/>
  <c r="G5" i="6"/>
  <c r="G6" i="6"/>
  <c r="G8" i="6"/>
</calcChain>
</file>

<file path=xl/sharedStrings.xml><?xml version="1.0" encoding="utf-8"?>
<sst xmlns="http://schemas.openxmlformats.org/spreadsheetml/2006/main" count="791" uniqueCount="454">
  <si>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</si>
  <si>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</si>
  <si>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</si>
  <si>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</si>
  <si>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</si>
  <si>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</si>
  <si>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</si>
  <si>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</si>
  <si>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</si>
  <si>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</si>
  <si>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</si>
  <si>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</si>
  <si>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</si>
  <si>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</si>
  <si>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</si>
  <si>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</si>
  <si>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</si>
  <si>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</si>
  <si>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</si>
  <si>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</si>
  <si>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</si>
  <si>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</si>
  <si>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</si>
  <si>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</si>
  <si>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</si>
  <si>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</si>
  <si>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</si>
  <si>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</si>
  <si>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</si>
  <si>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</si>
  <si>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</si>
  <si>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</si>
  <si>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</si>
  <si>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</si>
  <si>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</si>
  <si>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</si>
  <si>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</si>
  <si>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</si>
  <si>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</si>
  <si>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</si>
  <si>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</si>
  <si>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</si>
  <si>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</si>
  <si>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</si>
  <si>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</si>
  <si>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</si>
  <si>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</si>
  <si>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</si>
  <si>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</si>
  <si>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</si>
  <si>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</si>
  <si>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</si>
  <si>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</si>
  <si>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</si>
  <si>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</si>
  <si>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</si>
  <si>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</si>
  <si>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</si>
  <si>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</si>
  <si>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</si>
  <si>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</si>
  <si>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</si>
  <si>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</si>
  <si>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</si>
  <si>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</si>
  <si>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</si>
  <si>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</si>
  <si>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</si>
  <si>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</si>
  <si>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</si>
  <si>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</si>
  <si>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</si>
  <si>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</si>
  <si>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</si>
  <si>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</si>
  <si>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</si>
  <si>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</si>
  <si>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</si>
  <si>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</si>
  <si>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</si>
  <si>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</si>
  <si>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</si>
  <si>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</si>
  <si>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</si>
  <si>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</si>
  <si>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</si>
  <si>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</si>
  <si>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</si>
  <si>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</si>
  <si>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</si>
  <si>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</si>
  <si>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</si>
  <si>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</si>
  <si>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</si>
  <si>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</si>
  <si>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</si>
  <si>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</si>
  <si>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</si>
  <si>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</si>
  <si>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</si>
  <si>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</si>
  <si>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</si>
  <si>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</si>
  <si>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</si>
  <si>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</si>
  <si>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</si>
  <si>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</si>
  <si>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</si>
  <si>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</si>
  <si>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</si>
  <si>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</si>
  <si>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</si>
  <si>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</si>
  <si>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</si>
  <si>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</si>
  <si>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</si>
  <si>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</si>
  <si>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</si>
  <si>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</si>
  <si>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</si>
  <si>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</si>
  <si>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</si>
  <si>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</si>
  <si>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</si>
  <si>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</si>
  <si>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</si>
  <si>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</si>
  <si>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</si>
  <si>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</si>
  <si>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</si>
  <si>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</si>
  <si>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</si>
  <si>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</si>
  <si>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</si>
  <si>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</si>
  <si>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</si>
  <si>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</si>
  <si>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</si>
  <si>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</si>
  <si>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</si>
  <si>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</si>
  <si>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</si>
  <si>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</si>
  <si>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</si>
  <si>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</si>
  <si>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</si>
  <si>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</si>
  <si>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</si>
  <si>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</si>
  <si>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</si>
  <si>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</si>
  <si>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</si>
  <si>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</si>
  <si>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</si>
  <si>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</si>
  <si>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</si>
  <si>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</si>
  <si>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</si>
  <si>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</si>
  <si>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</si>
  <si>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</si>
  <si>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</si>
  <si>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</si>
  <si>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</si>
  <si>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</si>
  <si>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</si>
  <si>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</si>
  <si>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</si>
  <si>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</si>
  <si>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</si>
  <si>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</si>
  <si>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</si>
  <si>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</si>
  <si>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</si>
  <si>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</si>
  <si>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</si>
  <si>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</si>
  <si>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</si>
  <si>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</si>
  <si>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</si>
  <si>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</si>
  <si>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</si>
  <si>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</si>
  <si>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</si>
  <si>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</si>
  <si>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</si>
  <si>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</si>
  <si>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</si>
  <si>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</si>
  <si>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</si>
  <si>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</si>
  <si>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</si>
  <si>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</si>
  <si>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</si>
  <si>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</si>
  <si>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</si>
  <si>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</si>
  <si>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</si>
  <si>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</si>
  <si>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</si>
  <si>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</si>
  <si>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</si>
  <si>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</si>
  <si>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</si>
  <si>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</si>
  <si>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</si>
  <si>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</si>
  <si>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</si>
  <si>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</si>
  <si>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</si>
  <si>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</si>
  <si>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</si>
  <si>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</si>
  <si>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</si>
  <si>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</si>
  <si>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</si>
  <si>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</si>
  <si>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</si>
  <si>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</si>
  <si>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</si>
  <si>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</si>
  <si>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</si>
  <si>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</si>
  <si>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</si>
  <si>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</si>
  <si>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</si>
  <si>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</si>
  <si>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</si>
  <si>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</si>
  <si>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</si>
  <si>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</si>
  <si>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</si>
  <si>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</si>
  <si>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</si>
  <si>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</si>
  <si>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</si>
  <si>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</si>
  <si>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</si>
  <si>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</si>
  <si>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</si>
  <si>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</si>
  <si>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</si>
  <si>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</si>
  <si>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</si>
  <si>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</si>
  <si>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</si>
  <si>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</si>
  <si>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</si>
  <si>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</si>
  <si>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</si>
  <si>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</si>
  <si>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</si>
  <si>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</si>
  <si>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</si>
  <si>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</si>
  <si>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</si>
  <si>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</si>
  <si>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</si>
  <si>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</si>
  <si>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</si>
  <si>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</si>
  <si>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</si>
  <si>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</si>
  <si>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</si>
  <si>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</si>
  <si>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</si>
  <si>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</si>
  <si>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</si>
  <si>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</si>
  <si>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</si>
  <si>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</si>
  <si>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</si>
  <si>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</si>
  <si>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</si>
  <si>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</si>
  <si>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</si>
  <si>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</si>
  <si>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</si>
  <si>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</si>
  <si>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</si>
  <si>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</si>
  <si>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</si>
  <si>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</si>
  <si>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</si>
  <si>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</si>
  <si>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</si>
  <si>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</si>
  <si>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</si>
  <si>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</si>
  <si>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</si>
  <si>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</si>
  <si>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</si>
  <si>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</si>
  <si>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</si>
  <si>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</si>
  <si>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</si>
  <si>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</si>
  <si>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</si>
  <si>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</si>
  <si>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</si>
  <si>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</si>
  <si>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</si>
  <si>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</si>
  <si>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</si>
  <si>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</si>
  <si>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</si>
  <si>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</si>
  <si>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</si>
  <si>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</si>
  <si>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</si>
  <si>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</si>
  <si>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</si>
  <si>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</si>
  <si>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</si>
  <si>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</si>
  <si>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</si>
  <si>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</si>
  <si>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</si>
  <si>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</si>
  <si>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</si>
  <si>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</si>
  <si>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</si>
  <si>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</si>
  <si>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</si>
  <si>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</si>
  <si>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</si>
  <si>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</si>
  <si>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</si>
  <si>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</si>
  <si>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</si>
  <si>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</si>
  <si>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</si>
  <si>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</si>
  <si>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</si>
  <si>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</si>
  <si>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</si>
  <si>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</si>
  <si>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</si>
  <si>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</si>
  <si>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</si>
  <si>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</si>
  <si>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</si>
  <si>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</si>
  <si>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</si>
  <si>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</si>
  <si>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</si>
  <si>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</si>
  <si>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</si>
  <si>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</si>
  <si>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</si>
  <si>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</si>
  <si>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</si>
  <si>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</si>
  <si>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</si>
  <si>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</si>
  <si>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</si>
  <si>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</si>
  <si>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</si>
  <si>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</si>
  <si>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</si>
  <si>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</si>
  <si>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</si>
  <si>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</si>
  <si>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</si>
  <si>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</si>
  <si>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</si>
  <si>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</si>
  <si>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</si>
  <si>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</si>
  <si>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</si>
  <si>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</si>
  <si>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</si>
  <si>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</si>
  <si>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</si>
  <si>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</si>
  <si>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</si>
  <si>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</si>
  <si>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</si>
  <si>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</si>
  <si>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</si>
  <si>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</si>
  <si>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</si>
  <si>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</si>
  <si>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</si>
  <si>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</si>
  <si>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</si>
  <si>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</si>
  <si>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</si>
  <si>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</si>
  <si>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</si>
  <si>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</si>
  <si>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</si>
  <si>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</si>
  <si>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</si>
  <si>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</si>
  <si>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</si>
  <si>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</si>
  <si>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</si>
  <si>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</si>
  <si>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</si>
  <si>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</si>
  <si>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</si>
  <si>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</si>
  <si>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</si>
  <si>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</si>
  <si>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</si>
  <si>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</si>
  <si>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</si>
  <si>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</si>
  <si>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</si>
  <si>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</si>
  <si>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</si>
  <si>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</si>
  <si>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</si>
  <si>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</si>
  <si>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</si>
  <si>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</si>
  <si>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</si>
  <si>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</si>
  <si>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</si>
  <si>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</si>
  <si>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</si>
  <si>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</si>
  <si>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</si>
  <si>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</si>
  <si>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</si>
  <si>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</si>
  <si>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</si>
  <si>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</si>
  <si>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</si>
  <si>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</si>
  <si>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</si>
  <si>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</si>
  <si>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</si>
  <si>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</si>
  <si>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</si>
  <si>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</si>
  <si>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</si>
  <si>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</si>
  <si>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</si>
  <si>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</si>
  <si>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</si>
  <si>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</si>
  <si>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</si>
  <si>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</si>
  <si>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</si>
  <si>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</si>
  <si>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</si>
  <si>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</si>
  <si>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</si>
  <si>
    <t>adriano</t>
  </si>
  <si>
    <t>676db4ca78ad3c275d607071</t>
  </si>
  <si>
    <t>Adriano Soares</t>
  </si>
  <si>
    <t>29/02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</si>
</sst>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8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7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6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0" fontId="5" fillId="2" borderId="0" xfId="2" applyNumberFormat="1" applyFont="1" applyFill="1"/>
    <xf numFmtId="43" fontId="5" fillId="2" borderId="0" xfId="1" applyFont="1" applyFill="1"/>
    <xf numFmtId="0" fontId="5" fillId="2" borderId="0" xfId="0" applyFont="1" applyFill="1" applyAlignment="1">
      <alignment horizont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9" fontId="0" fillId="0" borderId="0" xfId="2" applyFont="1"/>
  </cellXfs>
  <cellStyles count="3">
    <cellStyle name="Normal" xfId="0" builtinId="0"/>
    <cellStyle name="Porcentagem" xfId="2" builtinId="5"/>
    <cellStyle name="Vírgula" xfId="1" builtinId="3"/>
  </cellStyles>
  <dxfs count="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39"/>
  <sheetViews>
    <sheetView tabSelected="1" zoomScaleNormal="100" workbookViewId="0">
      <selection activeCell="C131" sqref="C131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371</v>
      </c>
      <c r="B2" t="s">
        <v>366</v>
      </c>
      <c r="C2">
        <v>73398543856.730896</v>
      </c>
      <c r="D2">
        <v>1</v>
      </c>
      <c r="E2" t="s">
        <v>367</v>
      </c>
    </row>
    <row r="3" spans="1:5">
      <c r="A3" t="s">
        <v>346</v>
      </c>
      <c r="B3" t="s">
        <v>324</v>
      </c>
      <c r="C3">
        <v>70254602888.938797</v>
      </c>
      <c r="D3">
        <v>2</v>
      </c>
      <c r="E3" t="s">
        <v>323</v>
      </c>
    </row>
    <row r="4" spans="1:5">
      <c r="A4" s="2" t="s">
        <v>44</v>
      </c>
      <c r="B4" t="s">
        <v>43</v>
      </c>
      <c r="C4" s="2">
        <v>43123368217.950798</v>
      </c>
      <c r="D4">
        <v>3</v>
      </c>
      <c r="E4" t="s">
        <v>63</v>
      </c>
    </row>
    <row r="5" spans="1:5">
      <c r="A5" t="s">
        <v>352</v>
      </c>
      <c r="B5" t="s">
        <v>335</v>
      </c>
      <c r="C5">
        <v>36956372860.420799</v>
      </c>
      <c r="D5">
        <v>4</v>
      </c>
      <c r="E5" t="s">
        <v>336</v>
      </c>
    </row>
    <row r="6" spans="1:5">
      <c r="A6" t="s">
        <v>242</v>
      </c>
      <c r="B6" t="s">
        <v>241</v>
      </c>
      <c r="C6">
        <v>36659318314.493599</v>
      </c>
      <c r="D6">
        <v>5</v>
      </c>
      <c r="E6" t="s">
        <v>240</v>
      </c>
    </row>
    <row r="7" spans="1:5">
      <c r="A7" s="2" t="s">
        <v>24</v>
      </c>
      <c r="B7" t="s">
        <v>20</v>
      </c>
      <c r="C7" s="2">
        <v>34296450061.097801</v>
      </c>
      <c r="D7">
        <v>6</v>
      </c>
      <c r="E7" t="s">
        <v>61</v>
      </c>
    </row>
    <row r="8" spans="1:5">
      <c r="A8" s="2" t="s">
        <v>31</v>
      </c>
      <c r="B8" t="s">
        <v>32</v>
      </c>
      <c r="C8" s="2">
        <v>34012997563.656399</v>
      </c>
      <c r="D8">
        <v>7</v>
      </c>
      <c r="E8" t="s">
        <v>62</v>
      </c>
    </row>
    <row r="9" spans="1:5">
      <c r="A9" s="2" t="s">
        <v>162</v>
      </c>
      <c r="B9" t="s">
        <v>160</v>
      </c>
      <c r="C9">
        <v>33139920128.295799</v>
      </c>
      <c r="D9">
        <v>8</v>
      </c>
      <c r="E9" t="s">
        <v>161</v>
      </c>
    </row>
    <row r="10" spans="1:5">
      <c r="A10" s="2" t="s">
        <v>88</v>
      </c>
      <c r="B10" t="s">
        <v>87</v>
      </c>
      <c r="C10" s="2">
        <v>29072696130.516998</v>
      </c>
      <c r="D10">
        <v>9</v>
      </c>
      <c r="E10" t="s">
        <v>124</v>
      </c>
    </row>
    <row r="11" spans="1:5">
      <c r="A11" s="1" t="s">
        <v>5</v>
      </c>
      <c r="B11" t="s">
        <v>3</v>
      </c>
      <c r="C11" s="2">
        <v>26507200132.2672</v>
      </c>
      <c r="D11">
        <v>10</v>
      </c>
      <c r="E11" t="s">
        <v>3</v>
      </c>
    </row>
    <row r="12" spans="1:5">
      <c r="A12" t="s">
        <v>400</v>
      </c>
      <c r="B12" t="s">
        <v>376</v>
      </c>
      <c r="C12">
        <v>24979734239.9618</v>
      </c>
      <c r="D12">
        <v>11</v>
      </c>
      <c r="E12" t="s">
        <v>432</v>
      </c>
    </row>
    <row r="13" spans="1:5">
      <c r="A13" s="1" t="s">
        <v>1</v>
      </c>
      <c r="B13" t="s">
        <v>0</v>
      </c>
      <c r="C13" s="2">
        <v>22706970050.5256</v>
      </c>
      <c r="D13">
        <v>12</v>
      </c>
      <c r="E13" t="s">
        <v>0</v>
      </c>
    </row>
    <row r="14" spans="1:5">
      <c r="A14" s="2" t="s">
        <v>46</v>
      </c>
      <c r="B14" s="2" t="s">
        <v>45</v>
      </c>
      <c r="C14" s="2">
        <v>19010481547.3778</v>
      </c>
      <c r="D14">
        <v>13</v>
      </c>
      <c r="E14" t="s">
        <v>64</v>
      </c>
    </row>
    <row r="15" spans="1:5">
      <c r="A15" t="s">
        <v>312</v>
      </c>
      <c r="B15" t="s">
        <v>289</v>
      </c>
      <c r="C15">
        <v>16740158692.7952</v>
      </c>
      <c r="D15">
        <v>14</v>
      </c>
      <c r="E15" t="s">
        <v>288</v>
      </c>
    </row>
    <row r="16" spans="1:5">
      <c r="A16" t="s">
        <v>406</v>
      </c>
      <c r="B16" t="s">
        <v>382</v>
      </c>
      <c r="C16">
        <v>16709350634.192001</v>
      </c>
      <c r="D16">
        <v>15</v>
      </c>
      <c r="E16" t="s">
        <v>436</v>
      </c>
    </row>
    <row r="17" spans="1:5">
      <c r="A17" s="2" t="s">
        <v>216</v>
      </c>
      <c r="B17" t="s">
        <v>205</v>
      </c>
      <c r="C17" s="2">
        <v>15766787391.785101</v>
      </c>
      <c r="D17">
        <v>16</v>
      </c>
      <c r="E17" t="s">
        <v>204</v>
      </c>
    </row>
    <row r="18" spans="1:5">
      <c r="A18" t="s">
        <v>270</v>
      </c>
      <c r="B18" t="s">
        <v>269</v>
      </c>
      <c r="C18">
        <v>15642241830.5256</v>
      </c>
      <c r="D18">
        <v>17</v>
      </c>
      <c r="E18" t="s">
        <v>268</v>
      </c>
    </row>
    <row r="19" spans="1:5">
      <c r="A19" t="s">
        <v>416</v>
      </c>
      <c r="B19" t="s">
        <v>392</v>
      </c>
      <c r="C19">
        <v>15532850744.2213</v>
      </c>
      <c r="D19">
        <v>18</v>
      </c>
      <c r="E19" t="s">
        <v>444</v>
      </c>
    </row>
    <row r="20" spans="1:5">
      <c r="A20" t="s">
        <v>267</v>
      </c>
      <c r="B20" t="s">
        <v>264</v>
      </c>
      <c r="C20">
        <v>15521700936.025801</v>
      </c>
      <c r="D20">
        <v>19</v>
      </c>
      <c r="E20" t="s">
        <v>263</v>
      </c>
    </row>
    <row r="21" spans="1:5">
      <c r="A21" t="s">
        <v>141</v>
      </c>
      <c r="B21" t="s">
        <v>142</v>
      </c>
      <c r="C21">
        <v>15361463404.492498</v>
      </c>
      <c r="D21">
        <v>20</v>
      </c>
      <c r="E21" t="s">
        <v>143</v>
      </c>
    </row>
    <row r="22" spans="1:5">
      <c r="A22" t="s">
        <v>198</v>
      </c>
      <c r="B22" t="s">
        <v>197</v>
      </c>
      <c r="C22">
        <v>15027746623.454699</v>
      </c>
      <c r="D22">
        <v>21</v>
      </c>
      <c r="E22" t="s">
        <v>196</v>
      </c>
    </row>
    <row r="23" spans="1:5">
      <c r="A23" s="2" t="s">
        <v>48</v>
      </c>
      <c r="B23" t="s">
        <v>47</v>
      </c>
      <c r="C23" s="2">
        <v>14933815894.7633</v>
      </c>
      <c r="D23">
        <v>22</v>
      </c>
      <c r="E23" t="s">
        <v>67</v>
      </c>
    </row>
    <row r="24" spans="1:5">
      <c r="A24" s="2" t="s">
        <v>42</v>
      </c>
      <c r="B24" t="s">
        <v>41</v>
      </c>
      <c r="C24" s="2">
        <v>14514493122.5688</v>
      </c>
      <c r="D24">
        <v>23</v>
      </c>
      <c r="E24" t="s">
        <v>41</v>
      </c>
    </row>
    <row r="25" spans="1:5">
      <c r="A25" t="s">
        <v>421</v>
      </c>
      <c r="B25" t="s">
        <v>397</v>
      </c>
      <c r="C25">
        <v>13897786276.134401</v>
      </c>
      <c r="D25">
        <v>24</v>
      </c>
      <c r="E25" t="s">
        <v>448</v>
      </c>
    </row>
    <row r="26" spans="1:5">
      <c r="A26" t="s">
        <v>110</v>
      </c>
      <c r="B26" t="s">
        <v>111</v>
      </c>
      <c r="C26">
        <v>13823634781.774199</v>
      </c>
      <c r="D26">
        <v>25</v>
      </c>
      <c r="E26" t="s">
        <v>156</v>
      </c>
    </row>
    <row r="27" spans="1:5">
      <c r="A27" t="s">
        <v>351</v>
      </c>
      <c r="B27" t="s">
        <v>333</v>
      </c>
      <c r="C27">
        <v>13381322167.128101</v>
      </c>
      <c r="D27">
        <v>26</v>
      </c>
      <c r="E27" t="s">
        <v>334</v>
      </c>
    </row>
    <row r="28" spans="1:5">
      <c r="A28" s="3" t="s">
        <v>215</v>
      </c>
      <c r="B28" t="s">
        <v>209</v>
      </c>
      <c r="C28" s="2">
        <v>12620879765.2656</v>
      </c>
      <c r="D28">
        <v>27</v>
      </c>
      <c r="E28" t="s">
        <v>208</v>
      </c>
    </row>
    <row r="29" spans="1:5">
      <c r="A29" s="2" t="s">
        <v>50</v>
      </c>
      <c r="B29" s="2" t="s">
        <v>49</v>
      </c>
      <c r="C29" s="2">
        <v>12533405123.021399</v>
      </c>
      <c r="D29">
        <v>28</v>
      </c>
      <c r="E29" t="s">
        <v>243</v>
      </c>
    </row>
    <row r="30" spans="1:5">
      <c r="A30" t="s">
        <v>184</v>
      </c>
      <c r="B30" t="s">
        <v>274</v>
      </c>
      <c r="C30">
        <v>12032390441.835299</v>
      </c>
      <c r="D30">
        <v>29</v>
      </c>
      <c r="E30" t="s">
        <v>227</v>
      </c>
    </row>
    <row r="31" spans="1:5">
      <c r="A31" t="s">
        <v>118</v>
      </c>
      <c r="B31" t="s">
        <v>119</v>
      </c>
      <c r="C31">
        <v>11967982347.8223</v>
      </c>
      <c r="D31">
        <v>30</v>
      </c>
      <c r="E31" t="s">
        <v>120</v>
      </c>
    </row>
    <row r="32" spans="1:5">
      <c r="A32" t="s">
        <v>128</v>
      </c>
      <c r="B32" t="s">
        <v>129</v>
      </c>
      <c r="C32">
        <v>11457822684.749102</v>
      </c>
      <c r="D32">
        <v>31</v>
      </c>
      <c r="E32" t="s">
        <v>130</v>
      </c>
    </row>
    <row r="33" spans="1:5">
      <c r="A33" t="s">
        <v>223</v>
      </c>
      <c r="B33" t="s">
        <v>213</v>
      </c>
      <c r="C33">
        <v>11457764827.832899</v>
      </c>
      <c r="D33">
        <v>32</v>
      </c>
      <c r="E33" t="s">
        <v>212</v>
      </c>
    </row>
    <row r="34" spans="1:5">
      <c r="A34" t="s">
        <v>353</v>
      </c>
      <c r="B34" t="s">
        <v>338</v>
      </c>
      <c r="C34">
        <v>11239617468.3603</v>
      </c>
      <c r="D34">
        <v>33</v>
      </c>
      <c r="E34" t="s">
        <v>337</v>
      </c>
    </row>
    <row r="35" spans="1:5">
      <c r="A35" t="s">
        <v>319</v>
      </c>
      <c r="B35" t="s">
        <v>302</v>
      </c>
      <c r="C35">
        <v>11143501550.8748</v>
      </c>
      <c r="D35">
        <v>34</v>
      </c>
      <c r="E35" t="s">
        <v>303</v>
      </c>
    </row>
    <row r="36" spans="1:5">
      <c r="A36" t="s">
        <v>222</v>
      </c>
      <c r="B36" t="s">
        <v>211</v>
      </c>
      <c r="C36">
        <v>11002635668.2124</v>
      </c>
      <c r="D36">
        <v>35</v>
      </c>
      <c r="E36" t="s">
        <v>210</v>
      </c>
    </row>
    <row r="37" spans="1:5">
      <c r="A37" t="s">
        <v>102</v>
      </c>
      <c r="B37" t="s">
        <v>103</v>
      </c>
      <c r="C37">
        <v>10377342428.2756</v>
      </c>
      <c r="D37">
        <v>36</v>
      </c>
      <c r="E37" t="s">
        <v>104</v>
      </c>
    </row>
    <row r="38" spans="1:5">
      <c r="A38" t="s">
        <v>374</v>
      </c>
      <c r="B38" t="s">
        <v>368</v>
      </c>
      <c r="C38">
        <v>10230171229.4163</v>
      </c>
      <c r="D38">
        <v>37</v>
      </c>
      <c r="E38" t="s">
        <v>373</v>
      </c>
    </row>
    <row r="39" spans="1:5">
      <c r="A39" t="s">
        <v>355</v>
      </c>
      <c r="B39" t="s">
        <v>343</v>
      </c>
      <c r="C39">
        <v>10063645011.060799</v>
      </c>
      <c r="D39">
        <v>38</v>
      </c>
      <c r="E39" t="s">
        <v>342</v>
      </c>
    </row>
    <row r="40" spans="1:5">
      <c r="A40" t="s">
        <v>96</v>
      </c>
      <c r="B40" t="s">
        <v>97</v>
      </c>
      <c r="C40">
        <v>9941017643.3523998</v>
      </c>
      <c r="D40">
        <v>39</v>
      </c>
      <c r="E40" t="s">
        <v>98</v>
      </c>
    </row>
    <row r="41" spans="1:5">
      <c r="A41" t="s">
        <v>229</v>
      </c>
      <c r="B41" t="s">
        <v>230</v>
      </c>
      <c r="C41">
        <v>9803602230.6921997</v>
      </c>
      <c r="D41">
        <v>40</v>
      </c>
      <c r="E41" t="s">
        <v>228</v>
      </c>
    </row>
    <row r="42" spans="1:5">
      <c r="A42" s="1" t="s">
        <v>158</v>
      </c>
      <c r="B42" t="s">
        <v>159</v>
      </c>
      <c r="C42">
        <v>9563052714.6815987</v>
      </c>
      <c r="D42">
        <v>41</v>
      </c>
      <c r="E42" t="s">
        <v>157</v>
      </c>
    </row>
    <row r="43" spans="1:5">
      <c r="A43" t="s">
        <v>318</v>
      </c>
      <c r="B43" t="s">
        <v>300</v>
      </c>
      <c r="C43">
        <v>9534613532.7914009</v>
      </c>
      <c r="D43">
        <v>42</v>
      </c>
      <c r="E43" t="s">
        <v>301</v>
      </c>
    </row>
    <row r="44" spans="1:5">
      <c r="A44" t="s">
        <v>125</v>
      </c>
      <c r="B44" t="s">
        <v>126</v>
      </c>
      <c r="C44">
        <v>9466716987.1728001</v>
      </c>
      <c r="D44">
        <v>43</v>
      </c>
      <c r="E44" t="s">
        <v>127</v>
      </c>
    </row>
    <row r="45" spans="1:5">
      <c r="A45" s="3" t="s">
        <v>83</v>
      </c>
      <c r="B45" t="s">
        <v>81</v>
      </c>
      <c r="C45" s="2">
        <v>9401860968.6992016</v>
      </c>
      <c r="D45">
        <v>44</v>
      </c>
      <c r="E45" t="s">
        <v>82</v>
      </c>
    </row>
    <row r="46" spans="1:5">
      <c r="A46" s="2" t="s">
        <v>23</v>
      </c>
      <c r="B46" t="s">
        <v>18</v>
      </c>
      <c r="C46" s="2">
        <v>9248003275.6525002</v>
      </c>
      <c r="D46">
        <v>45</v>
      </c>
      <c r="E46" t="s">
        <v>73</v>
      </c>
    </row>
    <row r="47" spans="1:5">
      <c r="A47" t="s">
        <v>134</v>
      </c>
      <c r="B47" t="s">
        <v>135</v>
      </c>
      <c r="C47">
        <v>8530416432.6365004</v>
      </c>
      <c r="D47">
        <v>46</v>
      </c>
      <c r="E47" t="s">
        <v>136</v>
      </c>
    </row>
    <row r="48" spans="1:5">
      <c r="A48" t="s">
        <v>6</v>
      </c>
      <c r="B48" t="s">
        <v>4</v>
      </c>
      <c r="C48" s="2">
        <v>8174213547.2004004</v>
      </c>
      <c r="D48">
        <v>47</v>
      </c>
      <c r="E48" t="s">
        <v>4</v>
      </c>
    </row>
    <row r="49" spans="1:5">
      <c r="A49" t="s">
        <v>154</v>
      </c>
      <c r="B49" t="s">
        <v>155</v>
      </c>
      <c r="C49">
        <v>8067679873.2600002</v>
      </c>
      <c r="D49">
        <v>48</v>
      </c>
      <c r="E49" t="s">
        <v>153</v>
      </c>
    </row>
    <row r="50" spans="1:5">
      <c r="A50" s="2" t="s">
        <v>29</v>
      </c>
      <c r="B50" t="s">
        <v>27</v>
      </c>
      <c r="C50" s="2">
        <v>7806529071.7950001</v>
      </c>
      <c r="D50">
        <v>49</v>
      </c>
      <c r="E50" t="s">
        <v>68</v>
      </c>
    </row>
    <row r="51" spans="1:5">
      <c r="A51" t="s">
        <v>316</v>
      </c>
      <c r="B51" t="s">
        <v>296</v>
      </c>
      <c r="C51">
        <v>7429308663.1208</v>
      </c>
      <c r="D51">
        <v>50</v>
      </c>
      <c r="E51" t="s">
        <v>297</v>
      </c>
    </row>
    <row r="52" spans="1:5">
      <c r="A52" t="s">
        <v>410</v>
      </c>
      <c r="B52" t="s">
        <v>386</v>
      </c>
      <c r="C52">
        <v>6849249787.96</v>
      </c>
      <c r="D52">
        <v>51</v>
      </c>
      <c r="E52" t="s">
        <v>440</v>
      </c>
    </row>
    <row r="53" spans="1:5">
      <c r="A53" s="2" t="s">
        <v>56</v>
      </c>
      <c r="B53" t="s">
        <v>95</v>
      </c>
      <c r="C53" s="2">
        <v>6753812332.5750999</v>
      </c>
      <c r="D53">
        <v>52</v>
      </c>
      <c r="E53" t="s">
        <v>55</v>
      </c>
    </row>
    <row r="54" spans="1:5">
      <c r="A54" t="s">
        <v>419</v>
      </c>
      <c r="B54" t="s">
        <v>395</v>
      </c>
      <c r="C54">
        <v>6278854706.0100002</v>
      </c>
      <c r="D54">
        <v>53</v>
      </c>
      <c r="E54" t="s">
        <v>425</v>
      </c>
    </row>
    <row r="55" spans="1:5">
      <c r="A55" t="s">
        <v>226</v>
      </c>
      <c r="B55" t="s">
        <v>225</v>
      </c>
      <c r="C55">
        <v>5899561517.5194998</v>
      </c>
      <c r="D55">
        <v>54</v>
      </c>
      <c r="E55" t="s">
        <v>224</v>
      </c>
    </row>
    <row r="56" spans="1:5">
      <c r="A56" t="s">
        <v>407</v>
      </c>
      <c r="B56" t="s">
        <v>383</v>
      </c>
      <c r="C56">
        <v>5852073796.2126999</v>
      </c>
      <c r="D56">
        <v>55</v>
      </c>
      <c r="E56" t="s">
        <v>437</v>
      </c>
    </row>
    <row r="57" spans="1:5">
      <c r="A57" s="2" t="s">
        <v>60</v>
      </c>
      <c r="B57" t="s">
        <v>59</v>
      </c>
      <c r="C57" s="2">
        <v>5746238218.6861</v>
      </c>
      <c r="D57">
        <v>56</v>
      </c>
      <c r="E57" t="s">
        <v>71</v>
      </c>
    </row>
    <row r="58" spans="1:5">
      <c r="A58" t="s">
        <v>307</v>
      </c>
      <c r="B58" t="s">
        <v>277</v>
      </c>
      <c r="C58">
        <v>5521669353.2016001</v>
      </c>
      <c r="D58">
        <v>57</v>
      </c>
      <c r="E58" t="s">
        <v>278</v>
      </c>
    </row>
    <row r="59" spans="1:5">
      <c r="A59" t="s">
        <v>408</v>
      </c>
      <c r="B59" t="s">
        <v>384</v>
      </c>
      <c r="C59">
        <v>5394163212.9245996</v>
      </c>
      <c r="D59">
        <v>58</v>
      </c>
      <c r="E59" t="s">
        <v>438</v>
      </c>
    </row>
    <row r="60" spans="1:5">
      <c r="A60" s="2" t="s">
        <v>86</v>
      </c>
      <c r="B60" t="s">
        <v>84</v>
      </c>
      <c r="C60" s="2">
        <v>5258258426.7615995</v>
      </c>
      <c r="D60">
        <v>59</v>
      </c>
      <c r="E60" t="s">
        <v>85</v>
      </c>
    </row>
    <row r="61" spans="1:5">
      <c r="A61" s="2" t="s">
        <v>15</v>
      </c>
      <c r="B61" t="s">
        <v>11</v>
      </c>
      <c r="C61" s="2">
        <v>5209417305.0992002</v>
      </c>
      <c r="D61">
        <v>60</v>
      </c>
      <c r="E61" t="s">
        <v>74</v>
      </c>
    </row>
    <row r="62" spans="1:5">
      <c r="A62" t="s">
        <v>320</v>
      </c>
      <c r="B62" t="s">
        <v>304</v>
      </c>
      <c r="C62">
        <v>5020529319.448</v>
      </c>
      <c r="D62">
        <v>61</v>
      </c>
      <c r="E62" t="s">
        <v>305</v>
      </c>
    </row>
    <row r="63" spans="1:5">
      <c r="A63" t="s">
        <v>99</v>
      </c>
      <c r="B63" t="s">
        <v>100</v>
      </c>
      <c r="C63">
        <v>4857870144.4904003</v>
      </c>
      <c r="D63">
        <v>62</v>
      </c>
      <c r="E63" t="s">
        <v>101</v>
      </c>
    </row>
    <row r="64" spans="1:5">
      <c r="A64" t="s">
        <v>112</v>
      </c>
      <c r="B64" t="s">
        <v>113</v>
      </c>
      <c r="C64">
        <v>4825749236.5418997</v>
      </c>
      <c r="D64">
        <v>63</v>
      </c>
      <c r="E64" t="s">
        <v>114</v>
      </c>
    </row>
    <row r="65" spans="1:5">
      <c r="A65" t="s">
        <v>89</v>
      </c>
      <c r="B65" t="s">
        <v>90</v>
      </c>
      <c r="C65">
        <v>4757569937.0867004</v>
      </c>
      <c r="D65">
        <v>64</v>
      </c>
      <c r="E65" t="s">
        <v>91</v>
      </c>
    </row>
    <row r="66" spans="1:5">
      <c r="A66" t="s">
        <v>257</v>
      </c>
      <c r="B66" t="s">
        <v>252</v>
      </c>
      <c r="C66">
        <v>4536764122.9666996</v>
      </c>
      <c r="D66">
        <v>65</v>
      </c>
      <c r="E66" t="s">
        <v>251</v>
      </c>
    </row>
    <row r="67" spans="1:5">
      <c r="A67" t="s">
        <v>310</v>
      </c>
      <c r="B67" t="s">
        <v>283</v>
      </c>
      <c r="C67">
        <v>4338798730.632</v>
      </c>
      <c r="D67">
        <v>66</v>
      </c>
      <c r="E67" t="s">
        <v>284</v>
      </c>
    </row>
    <row r="68" spans="1:5">
      <c r="A68" t="s">
        <v>201</v>
      </c>
      <c r="B68" t="s">
        <v>200</v>
      </c>
      <c r="C68">
        <v>4254504833.7407999</v>
      </c>
      <c r="D68">
        <v>67</v>
      </c>
      <c r="E68" t="s">
        <v>199</v>
      </c>
    </row>
    <row r="69" spans="1:5">
      <c r="A69" t="s">
        <v>315</v>
      </c>
      <c r="B69" t="s">
        <v>294</v>
      </c>
      <c r="C69">
        <v>4221335812.7747998</v>
      </c>
      <c r="D69">
        <v>68</v>
      </c>
      <c r="E69" t="s">
        <v>295</v>
      </c>
    </row>
    <row r="70" spans="1:5">
      <c r="A70" t="s">
        <v>233</v>
      </c>
      <c r="B70" t="s">
        <v>232</v>
      </c>
      <c r="C70">
        <v>4183766700.428</v>
      </c>
      <c r="D70">
        <v>69</v>
      </c>
      <c r="E70" t="s">
        <v>231</v>
      </c>
    </row>
    <row r="71" spans="1:5">
      <c r="A71" s="2" t="s">
        <v>38</v>
      </c>
      <c r="B71" t="s">
        <v>37</v>
      </c>
      <c r="C71" s="2">
        <v>3965818080.2384</v>
      </c>
      <c r="D71">
        <v>70</v>
      </c>
      <c r="E71" t="s">
        <v>65</v>
      </c>
    </row>
    <row r="72" spans="1:5">
      <c r="A72" t="s">
        <v>308</v>
      </c>
      <c r="B72" t="s">
        <v>279</v>
      </c>
      <c r="C72">
        <v>3786156701.1384001</v>
      </c>
      <c r="D72">
        <v>71</v>
      </c>
      <c r="E72" t="s">
        <v>280</v>
      </c>
    </row>
    <row r="73" spans="1:5">
      <c r="A73" t="s">
        <v>131</v>
      </c>
      <c r="B73" t="s">
        <v>137</v>
      </c>
      <c r="C73">
        <v>3722848576.9811997</v>
      </c>
      <c r="D73">
        <v>72</v>
      </c>
      <c r="E73" t="s">
        <v>133</v>
      </c>
    </row>
    <row r="74" spans="1:5">
      <c r="A74" t="s">
        <v>105</v>
      </c>
      <c r="B74" t="s">
        <v>106</v>
      </c>
      <c r="C74">
        <v>3623576384.2386999</v>
      </c>
      <c r="D74">
        <v>73</v>
      </c>
      <c r="E74" t="s">
        <v>107</v>
      </c>
    </row>
    <row r="75" spans="1:5">
      <c r="A75" t="s">
        <v>405</v>
      </c>
      <c r="B75" t="s">
        <v>381</v>
      </c>
      <c r="C75">
        <v>3556155669.3000002</v>
      </c>
      <c r="D75">
        <v>74</v>
      </c>
      <c r="E75" t="s">
        <v>435</v>
      </c>
    </row>
    <row r="76" spans="1:5">
      <c r="A76" t="s">
        <v>358</v>
      </c>
      <c r="B76" t="s">
        <v>339</v>
      </c>
      <c r="C76">
        <v>3549392931.0009999</v>
      </c>
      <c r="D76">
        <v>75</v>
      </c>
      <c r="E76" t="s">
        <v>357</v>
      </c>
    </row>
    <row r="77" spans="1:5">
      <c r="A77" t="s">
        <v>220</v>
      </c>
      <c r="B77" t="s">
        <v>203</v>
      </c>
      <c r="C77">
        <v>3527198742.9622002</v>
      </c>
      <c r="D77">
        <v>76</v>
      </c>
      <c r="E77" t="s">
        <v>202</v>
      </c>
    </row>
    <row r="78" spans="1:5">
      <c r="A78" t="s">
        <v>121</v>
      </c>
      <c r="B78" t="s">
        <v>122</v>
      </c>
      <c r="C78">
        <v>3462014553.5303998</v>
      </c>
      <c r="D78">
        <v>77</v>
      </c>
      <c r="E78" t="s">
        <v>123</v>
      </c>
    </row>
    <row r="79" spans="1:5">
      <c r="A79" t="s">
        <v>239</v>
      </c>
      <c r="B79" t="s">
        <v>238</v>
      </c>
      <c r="C79">
        <v>3362420851.829</v>
      </c>
      <c r="D79">
        <v>78</v>
      </c>
      <c r="E79" t="s">
        <v>237</v>
      </c>
    </row>
    <row r="80" spans="1:5">
      <c r="A80" t="s">
        <v>350</v>
      </c>
      <c r="B80" t="s">
        <v>332</v>
      </c>
      <c r="C80">
        <v>3297717429.4317999</v>
      </c>
      <c r="D80">
        <v>79</v>
      </c>
      <c r="E80" t="s">
        <v>331</v>
      </c>
    </row>
    <row r="81" spans="1:5">
      <c r="A81" t="s">
        <v>348</v>
      </c>
      <c r="B81" t="s">
        <v>327</v>
      </c>
      <c r="C81">
        <v>3268286242.5365</v>
      </c>
      <c r="D81">
        <v>80</v>
      </c>
      <c r="E81" t="s">
        <v>328</v>
      </c>
    </row>
    <row r="82" spans="1:5">
      <c r="A82" s="2" t="s">
        <v>28</v>
      </c>
      <c r="B82" t="s">
        <v>26</v>
      </c>
      <c r="C82" s="2">
        <v>3208796316.0008001</v>
      </c>
      <c r="D82">
        <v>81</v>
      </c>
      <c r="E82" t="s">
        <v>66</v>
      </c>
    </row>
    <row r="83" spans="1:5">
      <c r="A83" t="s">
        <v>363</v>
      </c>
      <c r="B83" t="s">
        <v>360</v>
      </c>
      <c r="C83">
        <v>3168565508.4050999</v>
      </c>
      <c r="D83">
        <v>82</v>
      </c>
      <c r="E83" t="s">
        <v>359</v>
      </c>
    </row>
    <row r="84" spans="1:5">
      <c r="A84" t="s">
        <v>92</v>
      </c>
      <c r="B84" t="s">
        <v>93</v>
      </c>
      <c r="C84">
        <v>3126212126.3311996</v>
      </c>
      <c r="D84">
        <v>83</v>
      </c>
      <c r="E84" t="s">
        <v>94</v>
      </c>
    </row>
    <row r="85" spans="1:5">
      <c r="A85" t="s">
        <v>54</v>
      </c>
      <c r="B85" s="2" t="s">
        <v>53</v>
      </c>
      <c r="C85" s="2">
        <v>3076227675.1939998</v>
      </c>
      <c r="D85">
        <v>84</v>
      </c>
      <c r="E85" t="s">
        <v>189</v>
      </c>
    </row>
    <row r="86" spans="1:5">
      <c r="A86" t="s">
        <v>221</v>
      </c>
      <c r="B86" t="s">
        <v>207</v>
      </c>
      <c r="C86">
        <v>3074164055.0296998</v>
      </c>
      <c r="D86">
        <v>85</v>
      </c>
      <c r="E86" t="s">
        <v>206</v>
      </c>
    </row>
    <row r="87" spans="1:5">
      <c r="A87" t="s">
        <v>138</v>
      </c>
      <c r="B87" t="s">
        <v>132</v>
      </c>
      <c r="C87">
        <v>2807895721.8807998</v>
      </c>
      <c r="D87">
        <v>86</v>
      </c>
      <c r="E87" t="s">
        <v>139</v>
      </c>
    </row>
    <row r="88" spans="1:5">
      <c r="A88" t="s">
        <v>195</v>
      </c>
      <c r="B88" t="s">
        <v>194</v>
      </c>
      <c r="C88">
        <v>2752611071.4195004</v>
      </c>
      <c r="D88">
        <v>87</v>
      </c>
      <c r="E88" t="s">
        <v>193</v>
      </c>
    </row>
    <row r="89" spans="1:5">
      <c r="A89" t="s">
        <v>306</v>
      </c>
      <c r="B89" t="s">
        <v>276</v>
      </c>
      <c r="C89">
        <v>2752268302.0443001</v>
      </c>
      <c r="D89">
        <v>88</v>
      </c>
      <c r="E89" t="s">
        <v>275</v>
      </c>
    </row>
    <row r="90" spans="1:5">
      <c r="A90" t="s">
        <v>414</v>
      </c>
      <c r="B90" t="s">
        <v>390</v>
      </c>
      <c r="C90">
        <v>2736345272.3596001</v>
      </c>
      <c r="D90">
        <v>89</v>
      </c>
      <c r="E90" t="s">
        <v>443</v>
      </c>
    </row>
    <row r="91" spans="1:5">
      <c r="A91" t="s">
        <v>108</v>
      </c>
      <c r="B91" t="s">
        <v>109</v>
      </c>
      <c r="C91">
        <v>2684039069.7462001</v>
      </c>
      <c r="D91">
        <v>90</v>
      </c>
      <c r="E91" t="s">
        <v>217</v>
      </c>
    </row>
    <row r="92" spans="1:5">
      <c r="A92" t="s">
        <v>236</v>
      </c>
      <c r="B92" t="s">
        <v>234</v>
      </c>
      <c r="C92">
        <v>2486970738.1852002</v>
      </c>
      <c r="D92">
        <v>91</v>
      </c>
      <c r="E92" t="s">
        <v>235</v>
      </c>
    </row>
    <row r="93" spans="1:5">
      <c r="A93" t="s">
        <v>218</v>
      </c>
      <c r="B93" t="s">
        <v>214</v>
      </c>
      <c r="C93">
        <v>2484294870.1869001</v>
      </c>
      <c r="D93">
        <v>92</v>
      </c>
      <c r="E93" t="s">
        <v>219</v>
      </c>
    </row>
    <row r="94" spans="1:5">
      <c r="A94" t="s">
        <v>412</v>
      </c>
      <c r="B94" t="s">
        <v>442</v>
      </c>
      <c r="C94">
        <v>2450432397.3196001</v>
      </c>
      <c r="D94">
        <v>93</v>
      </c>
      <c r="E94" t="s">
        <v>441</v>
      </c>
    </row>
    <row r="95" spans="1:5">
      <c r="A95" t="s">
        <v>322</v>
      </c>
      <c r="B95" t="s">
        <v>285</v>
      </c>
      <c r="C95">
        <v>2413429543.1008</v>
      </c>
      <c r="D95">
        <v>94</v>
      </c>
      <c r="E95" t="s">
        <v>321</v>
      </c>
    </row>
    <row r="96" spans="1:5">
      <c r="A96" s="2" t="s">
        <v>16</v>
      </c>
      <c r="B96" t="s">
        <v>13</v>
      </c>
      <c r="C96" s="2">
        <v>2407406721.9247999</v>
      </c>
      <c r="D96">
        <v>95</v>
      </c>
      <c r="E96" t="s">
        <v>76</v>
      </c>
    </row>
    <row r="97" spans="1:5">
      <c r="A97" t="s">
        <v>317</v>
      </c>
      <c r="B97" t="s">
        <v>298</v>
      </c>
      <c r="C97">
        <v>2177658636.0999999</v>
      </c>
      <c r="D97">
        <v>96</v>
      </c>
      <c r="E97" t="s">
        <v>299</v>
      </c>
    </row>
    <row r="98" spans="1:5">
      <c r="A98" s="2" t="s">
        <v>30</v>
      </c>
      <c r="B98" t="s">
        <v>25</v>
      </c>
      <c r="C98" s="2">
        <v>2138193460.1199999</v>
      </c>
      <c r="D98">
        <v>97</v>
      </c>
      <c r="E98" t="s">
        <v>75</v>
      </c>
    </row>
    <row r="99" spans="1:5">
      <c r="A99" t="s">
        <v>265</v>
      </c>
      <c r="B99" t="s">
        <v>259</v>
      </c>
      <c r="C99">
        <v>2110205326.3264</v>
      </c>
      <c r="D99">
        <v>98</v>
      </c>
      <c r="E99" t="s">
        <v>260</v>
      </c>
    </row>
    <row r="100" spans="1:5">
      <c r="A100" t="s">
        <v>258</v>
      </c>
      <c r="B100" t="s">
        <v>254</v>
      </c>
      <c r="C100">
        <v>2072615052.4668</v>
      </c>
      <c r="D100">
        <v>99</v>
      </c>
      <c r="E100" t="s">
        <v>253</v>
      </c>
    </row>
    <row r="101" spans="1:5">
      <c r="A101" t="s">
        <v>309</v>
      </c>
      <c r="B101" t="s">
        <v>281</v>
      </c>
      <c r="C101">
        <v>2047612604.0197999</v>
      </c>
      <c r="D101">
        <v>100</v>
      </c>
      <c r="E101" t="s">
        <v>282</v>
      </c>
    </row>
    <row r="102" spans="1:5">
      <c r="A102" s="2" t="s">
        <v>14</v>
      </c>
      <c r="B102" t="s">
        <v>12</v>
      </c>
      <c r="C102" s="2">
        <v>1854723824.5276999</v>
      </c>
      <c r="D102">
        <v>101</v>
      </c>
      <c r="E102" t="s">
        <v>69</v>
      </c>
    </row>
    <row r="103" spans="1:5">
      <c r="A103" t="s">
        <v>409</v>
      </c>
      <c r="B103" t="s">
        <v>385</v>
      </c>
      <c r="C103">
        <v>1586795862.8843</v>
      </c>
      <c r="D103">
        <v>102</v>
      </c>
      <c r="E103" t="s">
        <v>439</v>
      </c>
    </row>
    <row r="104" spans="1:5">
      <c r="A104" t="s">
        <v>415</v>
      </c>
      <c r="B104" t="s">
        <v>423</v>
      </c>
      <c r="C104">
        <v>1582369076.4848001</v>
      </c>
      <c r="D104">
        <v>103</v>
      </c>
      <c r="E104" t="s">
        <v>424</v>
      </c>
    </row>
    <row r="105" spans="1:5">
      <c r="A105" t="s">
        <v>420</v>
      </c>
      <c r="B105" t="s">
        <v>447</v>
      </c>
      <c r="C105">
        <v>1532221054.4354</v>
      </c>
      <c r="D105">
        <v>104</v>
      </c>
      <c r="E105" t="s">
        <v>446</v>
      </c>
    </row>
    <row r="106" spans="1:5">
      <c r="A106" t="s">
        <v>372</v>
      </c>
      <c r="B106" t="s">
        <v>369</v>
      </c>
      <c r="C106">
        <v>1497616644.73</v>
      </c>
      <c r="D106">
        <v>105</v>
      </c>
      <c r="E106" t="s">
        <v>370</v>
      </c>
    </row>
    <row r="107" spans="1:5">
      <c r="A107" t="s">
        <v>417</v>
      </c>
      <c r="B107" t="s">
        <v>393</v>
      </c>
      <c r="C107">
        <v>1426205484.7504001</v>
      </c>
      <c r="D107">
        <v>106</v>
      </c>
      <c r="E107" t="s">
        <v>445</v>
      </c>
    </row>
    <row r="108" spans="1:5">
      <c r="A108" t="s">
        <v>354</v>
      </c>
      <c r="B108" t="s">
        <v>341</v>
      </c>
      <c r="C108">
        <v>1375658672.7780001</v>
      </c>
      <c r="D108">
        <v>107</v>
      </c>
      <c r="E108" t="s">
        <v>340</v>
      </c>
    </row>
    <row r="109" spans="1:5">
      <c r="A109" t="s">
        <v>256</v>
      </c>
      <c r="B109" t="s">
        <v>250</v>
      </c>
      <c r="C109">
        <v>1366062565.3046999</v>
      </c>
      <c r="D109">
        <v>108</v>
      </c>
      <c r="E109" t="s">
        <v>249</v>
      </c>
    </row>
    <row r="110" spans="1:5">
      <c r="A110" t="s">
        <v>403</v>
      </c>
      <c r="B110" t="s">
        <v>379</v>
      </c>
      <c r="C110">
        <v>1256041196.0324001</v>
      </c>
      <c r="D110">
        <v>109</v>
      </c>
      <c r="E110" t="s">
        <v>434</v>
      </c>
    </row>
    <row r="111" spans="1:5">
      <c r="A111" t="s">
        <v>356</v>
      </c>
      <c r="B111" t="s">
        <v>344</v>
      </c>
      <c r="C111">
        <v>1220491030.2956002</v>
      </c>
      <c r="D111">
        <v>110</v>
      </c>
      <c r="E111" t="s">
        <v>345</v>
      </c>
    </row>
    <row r="112" spans="1:5">
      <c r="A112" s="2" t="s">
        <v>22</v>
      </c>
      <c r="B112" t="s">
        <v>17</v>
      </c>
      <c r="C112" s="2">
        <v>1172437673.223</v>
      </c>
      <c r="D112">
        <v>111</v>
      </c>
      <c r="E112" t="s">
        <v>77</v>
      </c>
    </row>
    <row r="113" spans="1:5">
      <c r="A113" s="2" t="s">
        <v>35</v>
      </c>
      <c r="B113" t="s">
        <v>36</v>
      </c>
      <c r="C113" s="2">
        <v>1125144079.8645</v>
      </c>
      <c r="D113">
        <v>112</v>
      </c>
      <c r="E113" t="s">
        <v>70</v>
      </c>
    </row>
    <row r="114" spans="1:5">
      <c r="A114" s="2" t="s">
        <v>34</v>
      </c>
      <c r="B114" t="s">
        <v>33</v>
      </c>
      <c r="C114" s="2">
        <v>1102630117.6880999</v>
      </c>
      <c r="D114">
        <v>113</v>
      </c>
      <c r="E114" t="s">
        <v>80</v>
      </c>
    </row>
    <row r="115" spans="1:5">
      <c r="A115" t="s">
        <v>402</v>
      </c>
      <c r="B115" t="s">
        <v>378</v>
      </c>
      <c r="C115">
        <v>1083185683.8952</v>
      </c>
      <c r="D115">
        <v>114</v>
      </c>
      <c r="E115" t="s">
        <v>433</v>
      </c>
    </row>
    <row r="116" spans="1:5">
      <c r="A116" t="s">
        <v>349</v>
      </c>
      <c r="B116" t="s">
        <v>329</v>
      </c>
      <c r="C116">
        <v>1050930135.8262</v>
      </c>
      <c r="D116">
        <v>115</v>
      </c>
      <c r="E116" t="s">
        <v>330</v>
      </c>
    </row>
    <row r="117" spans="1:5">
      <c r="A117" t="s">
        <v>192</v>
      </c>
      <c r="B117" t="s">
        <v>191</v>
      </c>
      <c r="C117">
        <v>956179200.81699991</v>
      </c>
      <c r="D117">
        <v>116</v>
      </c>
      <c r="E117" t="s">
        <v>190</v>
      </c>
    </row>
    <row r="118" spans="1:5">
      <c r="A118" t="s">
        <v>399</v>
      </c>
      <c r="B118" t="s">
        <v>375</v>
      </c>
      <c r="C118">
        <v>955194895.10949993</v>
      </c>
      <c r="D118">
        <v>117</v>
      </c>
      <c r="E118" t="s">
        <v>426</v>
      </c>
    </row>
    <row r="119" spans="1:5">
      <c r="A119" t="s">
        <v>273</v>
      </c>
      <c r="B119" t="s">
        <v>271</v>
      </c>
      <c r="C119">
        <v>937761800.3427</v>
      </c>
      <c r="D119">
        <v>118</v>
      </c>
      <c r="E119" t="s">
        <v>272</v>
      </c>
    </row>
    <row r="120" spans="1:5">
      <c r="A120" t="s">
        <v>347</v>
      </c>
      <c r="B120" t="s">
        <v>325</v>
      </c>
      <c r="C120">
        <v>929077915.17200005</v>
      </c>
      <c r="D120">
        <v>119</v>
      </c>
      <c r="E120" t="s">
        <v>326</v>
      </c>
    </row>
    <row r="121" spans="1:5">
      <c r="A121" s="2" t="s">
        <v>58</v>
      </c>
      <c r="B121" t="s">
        <v>57</v>
      </c>
      <c r="C121" s="2">
        <v>866143412.55690002</v>
      </c>
      <c r="D121">
        <v>120</v>
      </c>
      <c r="E121" t="s">
        <v>140</v>
      </c>
    </row>
    <row r="122" spans="1:5">
      <c r="A122" t="s">
        <v>311</v>
      </c>
      <c r="B122" t="s">
        <v>287</v>
      </c>
      <c r="C122">
        <v>728222996.64390004</v>
      </c>
      <c r="D122">
        <v>121</v>
      </c>
      <c r="E122" t="s">
        <v>286</v>
      </c>
    </row>
    <row r="123" spans="1:5">
      <c r="A123" t="s">
        <v>401</v>
      </c>
      <c r="B123" t="s">
        <v>377</v>
      </c>
      <c r="C123">
        <v>716775967.7974</v>
      </c>
      <c r="D123">
        <v>122</v>
      </c>
      <c r="E123" t="s">
        <v>427</v>
      </c>
    </row>
    <row r="124" spans="1:5">
      <c r="A124" s="2" t="s">
        <v>39</v>
      </c>
      <c r="B124" s="2" t="s">
        <v>40</v>
      </c>
      <c r="C124" s="2">
        <v>611099803.04719996</v>
      </c>
      <c r="D124">
        <v>123</v>
      </c>
      <c r="E124" t="s">
        <v>72</v>
      </c>
    </row>
    <row r="125" spans="1:5">
      <c r="A125" t="s">
        <v>255</v>
      </c>
      <c r="B125" t="s">
        <v>248</v>
      </c>
      <c r="C125">
        <v>597015502.71360004</v>
      </c>
      <c r="D125">
        <v>124</v>
      </c>
      <c r="E125" t="s">
        <v>247</v>
      </c>
    </row>
    <row r="126" spans="1:5">
      <c r="A126" s="2" t="s">
        <v>21</v>
      </c>
      <c r="B126" t="s">
        <v>19</v>
      </c>
      <c r="C126" s="2">
        <v>580786984.93970001</v>
      </c>
      <c r="D126">
        <v>125</v>
      </c>
      <c r="E126" t="s">
        <v>78</v>
      </c>
    </row>
    <row r="127" spans="1:5">
      <c r="A127" t="s">
        <v>413</v>
      </c>
      <c r="B127" t="s">
        <v>389</v>
      </c>
      <c r="C127">
        <v>565416633.80900002</v>
      </c>
      <c r="D127">
        <v>126</v>
      </c>
      <c r="E127" t="s">
        <v>428</v>
      </c>
    </row>
    <row r="128" spans="1:5">
      <c r="A128" t="s">
        <v>115</v>
      </c>
      <c r="B128" t="s">
        <v>116</v>
      </c>
      <c r="C128">
        <v>454219233.44400001</v>
      </c>
      <c r="D128">
        <v>127</v>
      </c>
      <c r="E128" t="s">
        <v>117</v>
      </c>
    </row>
    <row r="129" spans="1:5">
      <c r="A129" t="s">
        <v>451</v>
      </c>
      <c r="B129" t="s">
        <v>452</v>
      </c>
      <c r="C129">
        <v>289202217.7748</v>
      </c>
      <c r="D129">
        <v>128</v>
      </c>
      <c r="E129" t="s">
        <v>450</v>
      </c>
    </row>
    <row r="130" spans="1:5">
      <c r="A130" s="2" t="s">
        <v>52</v>
      </c>
      <c r="B130" t="s">
        <v>51</v>
      </c>
      <c r="C130" s="2">
        <v>286337591.55919999</v>
      </c>
      <c r="D130">
        <v>129</v>
      </c>
      <c r="E130" t="s">
        <v>79</v>
      </c>
    </row>
    <row r="131" spans="1:5">
      <c r="A131" t="s">
        <v>266</v>
      </c>
      <c r="B131" t="s">
        <v>262</v>
      </c>
      <c r="C131">
        <v>278135718.69010001</v>
      </c>
      <c r="D131">
        <v>130</v>
      </c>
      <c r="E131" t="s">
        <v>261</v>
      </c>
    </row>
    <row r="132" spans="1:5">
      <c r="A132" t="s">
        <v>411</v>
      </c>
      <c r="B132" t="s">
        <v>387</v>
      </c>
      <c r="C132">
        <v>193654040.32660002</v>
      </c>
      <c r="D132">
        <v>131</v>
      </c>
      <c r="E132" t="s">
        <v>429</v>
      </c>
    </row>
    <row r="133" spans="1:5">
      <c r="A133" t="s">
        <v>422</v>
      </c>
      <c r="B133" t="s">
        <v>398</v>
      </c>
      <c r="C133">
        <v>179640093.30880001</v>
      </c>
      <c r="D133">
        <v>132</v>
      </c>
      <c r="E133" t="s">
        <v>449</v>
      </c>
    </row>
    <row r="134" spans="1:5">
      <c r="A134" t="s">
        <v>364</v>
      </c>
      <c r="B134" t="s">
        <v>362</v>
      </c>
      <c r="C134">
        <v>138814049.39159998</v>
      </c>
      <c r="D134">
        <v>133</v>
      </c>
      <c r="E134" t="s">
        <v>361</v>
      </c>
    </row>
    <row r="135" spans="1:5">
      <c r="A135" s="2" t="s">
        <v>246</v>
      </c>
      <c r="B135" t="s">
        <v>244</v>
      </c>
      <c r="C135">
        <v>105403656.38859999</v>
      </c>
      <c r="D135">
        <v>134</v>
      </c>
      <c r="E135" t="s">
        <v>245</v>
      </c>
    </row>
    <row r="136" spans="1:5">
      <c r="A136" t="s">
        <v>404</v>
      </c>
      <c r="B136" t="s">
        <v>380</v>
      </c>
      <c r="C136">
        <v>97781248.320000008</v>
      </c>
      <c r="D136">
        <v>135</v>
      </c>
      <c r="E136" t="s">
        <v>430</v>
      </c>
    </row>
    <row r="137" spans="1:5">
      <c r="A137" t="s">
        <v>313</v>
      </c>
      <c r="B137" t="s">
        <v>290</v>
      </c>
      <c r="C137">
        <v>64459702.43</v>
      </c>
      <c r="D137">
        <v>136</v>
      </c>
      <c r="E137" t="s">
        <v>291</v>
      </c>
    </row>
    <row r="138" spans="1:5">
      <c r="A138" t="s">
        <v>314</v>
      </c>
      <c r="B138" t="s">
        <v>292</v>
      </c>
      <c r="C138">
        <v>28923114.09</v>
      </c>
      <c r="D138">
        <v>137</v>
      </c>
      <c r="E138" t="s">
        <v>293</v>
      </c>
    </row>
    <row r="139" spans="1:5">
      <c r="A139" t="s">
        <v>418</v>
      </c>
      <c r="B139" t="s">
        <v>394</v>
      </c>
      <c r="C139">
        <v>21772252.848000001</v>
      </c>
      <c r="D139">
        <v>138</v>
      </c>
      <c r="E139" t="s">
        <v>431</v>
      </c>
    </row>
  </sheetData>
  <autoFilter ref="A1:E138" xr:uid="{F35CEFC1-B3C5-47E8-B313-C5CF74631A2D}">
    <sortState xmlns:xlrd2="http://schemas.microsoft.com/office/spreadsheetml/2017/richdata2" ref="A2:E139">
      <sortCondition descending="1" ref="C1:C138"/>
    </sortState>
  </autoFilter>
  <conditionalFormatting sqref="E2:E114">
    <cfRule type="duplicateValues" dxfId="66" priority="27"/>
  </conditionalFormatting>
  <conditionalFormatting sqref="B115:B139">
    <cfRule type="duplicateValues" dxfId="65" priority="26"/>
  </conditionalFormatting>
  <conditionalFormatting sqref="A115:A138">
    <cfRule type="duplicateValues" dxfId="64" priority="25"/>
  </conditionalFormatting>
  <conditionalFormatting sqref="E131">
    <cfRule type="duplicateValues" dxfId="63" priority="24"/>
  </conditionalFormatting>
  <conditionalFormatting sqref="E135">
    <cfRule type="duplicateValues" dxfId="62" priority="23"/>
  </conditionalFormatting>
  <conditionalFormatting sqref="E115">
    <cfRule type="duplicateValues" dxfId="61" priority="22"/>
  </conditionalFormatting>
  <conditionalFormatting sqref="E117">
    <cfRule type="duplicateValues" dxfId="60" priority="21"/>
  </conditionalFormatting>
  <conditionalFormatting sqref="E129">
    <cfRule type="duplicateValues" dxfId="59" priority="20"/>
  </conditionalFormatting>
  <conditionalFormatting sqref="E127">
    <cfRule type="duplicateValues" dxfId="58" priority="19"/>
  </conditionalFormatting>
  <conditionalFormatting sqref="E120">
    <cfRule type="duplicateValues" dxfId="57" priority="18"/>
  </conditionalFormatting>
  <conditionalFormatting sqref="E134">
    <cfRule type="duplicateValues" dxfId="56" priority="17"/>
  </conditionalFormatting>
  <conditionalFormatting sqref="E116">
    <cfRule type="duplicateValues" dxfId="55" priority="16"/>
  </conditionalFormatting>
  <conditionalFormatting sqref="E118">
    <cfRule type="duplicateValues" dxfId="54" priority="15"/>
  </conditionalFormatting>
  <conditionalFormatting sqref="E119">
    <cfRule type="duplicateValues" dxfId="53" priority="14"/>
  </conditionalFormatting>
  <conditionalFormatting sqref="E121">
    <cfRule type="duplicateValues" dxfId="52" priority="13"/>
  </conditionalFormatting>
  <conditionalFormatting sqref="E122">
    <cfRule type="duplicateValues" dxfId="51" priority="12"/>
  </conditionalFormatting>
  <conditionalFormatting sqref="E123">
    <cfRule type="duplicateValues" dxfId="50" priority="11"/>
  </conditionalFormatting>
  <conditionalFormatting sqref="E124">
    <cfRule type="duplicateValues" dxfId="49" priority="10"/>
  </conditionalFormatting>
  <conditionalFormatting sqref="E125">
    <cfRule type="duplicateValues" dxfId="48" priority="9"/>
  </conditionalFormatting>
  <conditionalFormatting sqref="E126">
    <cfRule type="duplicateValues" dxfId="47" priority="8"/>
  </conditionalFormatting>
  <conditionalFormatting sqref="E128">
    <cfRule type="duplicateValues" dxfId="46" priority="7"/>
  </conditionalFormatting>
  <conditionalFormatting sqref="E130">
    <cfRule type="duplicateValues" dxfId="45" priority="6"/>
  </conditionalFormatting>
  <conditionalFormatting sqref="E132:E133">
    <cfRule type="duplicateValues" dxfId="44" priority="5"/>
  </conditionalFormatting>
  <conditionalFormatting sqref="E136">
    <cfRule type="duplicateValues" dxfId="43" priority="4"/>
  </conditionalFormatting>
  <conditionalFormatting sqref="E137">
    <cfRule type="duplicateValues" dxfId="42" priority="3"/>
  </conditionalFormatting>
  <conditionalFormatting sqref="E138">
    <cfRule type="duplicateValues" dxfId="41" priority="2"/>
  </conditionalFormatting>
  <conditionalFormatting sqref="A2:A138">
    <cfRule type="duplicateValues" dxfId="40" priority="1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C5"/>
  <sheetViews>
    <sheetView workbookViewId="0">
      <selection activeCell="C9" sqref="C9"/>
    </sheetView>
  </sheetViews>
  <sheetFormatPr defaultRowHeight="15"/>
  <cols>
    <col min="1" max="1" width="26.5703125" bestFit="1" customWidth="1"/>
    <col min="2" max="3" width="15.140625" bestFit="1" customWidth="1"/>
  </cols>
  <sheetData>
    <row r="1" spans="1:3">
      <c r="A1" s="4" t="s">
        <v>365</v>
      </c>
    </row>
    <row r="2" spans="1:3">
      <c r="A2" s="49">
        <v>38264633667438</v>
      </c>
    </row>
    <row r="4" spans="1:3">
      <c r="A4" s="50">
        <v>45673</v>
      </c>
      <c r="B4" s="4">
        <v>45707</v>
      </c>
      <c r="C4" s="4">
        <v>45716</v>
      </c>
    </row>
    <row r="5" spans="1:3">
      <c r="A5" s="49">
        <v>23657877458589</v>
      </c>
      <c r="B5" s="49">
        <v>36048693738115</v>
      </c>
      <c r="C5" s="49">
        <v>38264633667438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Y140"/>
  <sheetViews>
    <sheetView topLeftCell="A103" zoomScale="80" zoomScaleNormal="80" workbookViewId="0">
      <selection activeCell="AZ131" sqref="AZ131"/>
    </sheetView>
  </sheetViews>
  <sheetFormatPr defaultRowHeight="15"/>
  <cols>
    <col min="1" max="1" width="30.42578125" customWidth="1"/>
    <col min="2" max="2" width="27.5703125" bestFit="1" customWidth="1"/>
    <col min="3" max="3" width="19" customWidth="1"/>
    <col min="4" max="4" width="12.85546875" hidden="1" customWidth="1"/>
    <col min="5" max="6" width="13" hidden="1" customWidth="1"/>
    <col min="7" max="7" width="12.85546875" hidden="1" customWidth="1"/>
    <col min="8" max="9" width="13" hidden="1" customWidth="1"/>
    <col min="10" max="10" width="12.85546875" hidden="1" customWidth="1"/>
    <col min="11" max="12" width="13" hidden="1" customWidth="1"/>
    <col min="13" max="13" width="12.85546875" hidden="1" customWidth="1"/>
    <col min="14" max="15" width="13" hidden="1" customWidth="1"/>
    <col min="16" max="16" width="12.85546875" hidden="1" customWidth="1"/>
    <col min="17" max="18" width="13" hidden="1" customWidth="1"/>
    <col min="19" max="19" width="12.85546875" hidden="1" customWidth="1"/>
    <col min="20" max="21" width="13" hidden="1" customWidth="1"/>
    <col min="22" max="22" width="12.85546875" hidden="1" customWidth="1"/>
    <col min="23" max="24" width="13" hidden="1" customWidth="1"/>
    <col min="25" max="25" width="12.85546875" hidden="1" customWidth="1"/>
    <col min="26" max="27" width="13" hidden="1" customWidth="1"/>
    <col min="28" max="28" width="12.85546875" hidden="1" customWidth="1"/>
    <col min="29" max="30" width="13" hidden="1" customWidth="1"/>
    <col min="31" max="31" width="12.85546875" hidden="1" customWidth="1"/>
    <col min="32" max="33" width="13" hidden="1" customWidth="1"/>
    <col min="34" max="34" width="12.85546875" hidden="1" customWidth="1"/>
    <col min="35" max="36" width="13" hidden="1" customWidth="1"/>
    <col min="37" max="37" width="12.85546875" hidden="1" customWidth="1"/>
    <col min="38" max="39" width="13" hidden="1" customWidth="1"/>
    <col min="40" max="40" width="12.85546875" hidden="1" customWidth="1"/>
    <col min="41" max="42" width="13" hidden="1" customWidth="1"/>
    <col min="43" max="43" width="12.85546875" bestFit="1" customWidth="1"/>
    <col min="44" max="45" width="13" bestFit="1" customWidth="1"/>
    <col min="46" max="46" width="12.85546875" bestFit="1" customWidth="1"/>
    <col min="47" max="48" width="13" bestFit="1" customWidth="1"/>
  </cols>
  <sheetData>
    <row r="1" spans="1:51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>
        <v>45717</v>
      </c>
    </row>
    <row r="2" spans="1:51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  <c r="AN2" t="s">
        <v>144</v>
      </c>
      <c r="AO2" t="s">
        <v>147</v>
      </c>
      <c r="AP2" t="s">
        <v>148</v>
      </c>
      <c r="AQ2" t="s">
        <v>144</v>
      </c>
      <c r="AR2" t="s">
        <v>147</v>
      </c>
      <c r="AS2" t="s">
        <v>148</v>
      </c>
      <c r="AT2" t="s">
        <v>144</v>
      </c>
      <c r="AU2" t="s">
        <v>147</v>
      </c>
      <c r="AV2" t="s">
        <v>148</v>
      </c>
    </row>
    <row r="3" spans="1:51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  <c r="AT3">
        <v>1391081445</v>
      </c>
      <c r="AU3">
        <v>13892034850.4925</v>
      </c>
      <c r="AV3">
        <f>SUM($AT$3+$AU$3)</f>
        <v>15283116295.4925</v>
      </c>
      <c r="AX3" s="57">
        <f>AV3/AS3-1</f>
        <v>0.13409515458383847</v>
      </c>
      <c r="AY3" s="57"/>
    </row>
    <row r="4" spans="1:51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  <c r="AT4">
        <v>2116189859</v>
      </c>
      <c r="AU4">
        <v>30972978014.295799</v>
      </c>
      <c r="AV4">
        <f>SUM($AT$4+$AU$4)</f>
        <v>33089167873.295799</v>
      </c>
      <c r="AX4" s="57">
        <f t="shared" ref="AX4:AX67" si="10">AV4/AS4-1</f>
        <v>8.3111699101345415E-2</v>
      </c>
      <c r="AY4" s="57"/>
    </row>
    <row r="5" spans="1:51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  <c r="AT5">
        <v>2589010727</v>
      </c>
      <c r="AU5">
        <v>40337822730.950798</v>
      </c>
      <c r="AV5">
        <f>SUM($AT$5+$AU$5)</f>
        <v>42926833457.950798</v>
      </c>
      <c r="AX5" s="57">
        <f t="shared" si="10"/>
        <v>5.0713777902430479E-2</v>
      </c>
      <c r="AY5" s="57"/>
    </row>
    <row r="6" spans="1:51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  <c r="AT6">
        <v>573945783</v>
      </c>
      <c r="AU6">
        <v>4163919261.0867</v>
      </c>
      <c r="AV6">
        <f>SUM($AT$6+$AU$6)</f>
        <v>4737865044.0867004</v>
      </c>
      <c r="AX6" s="57">
        <f t="shared" si="10"/>
        <v>4.7387152637430541E-2</v>
      </c>
      <c r="AY6" s="57"/>
    </row>
    <row r="7" spans="1:51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  <c r="AT7">
        <v>857676490</v>
      </c>
      <c r="AU7">
        <v>7182182927.2600002</v>
      </c>
      <c r="AV7">
        <f>SUM($AT$7+$AU$7)</f>
        <v>8039859417.2600002</v>
      </c>
      <c r="AX7" s="57">
        <f t="shared" si="10"/>
        <v>0.15226160719335979</v>
      </c>
      <c r="AY7" s="57"/>
    </row>
    <row r="8" spans="1:51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  <c r="AT8">
        <v>1161679759</v>
      </c>
      <c r="AU8">
        <v>10745189266.8223</v>
      </c>
      <c r="AV8">
        <f>SUM($AT$8+$AU$8)</f>
        <v>11906869025.8223</v>
      </c>
      <c r="AX8" s="57">
        <f t="shared" si="10"/>
        <v>6.0951226951224013E-2</v>
      </c>
      <c r="AY8" s="57"/>
    </row>
    <row r="9" spans="1:51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  <c r="AT9">
        <v>1125016937</v>
      </c>
      <c r="AU9">
        <v>10309992715.7491</v>
      </c>
      <c r="AV9">
        <f>SUM($AT$9+$AU$9)</f>
        <v>11435009652.7491</v>
      </c>
      <c r="AX9" s="57">
        <f t="shared" si="10"/>
        <v>0.12911211581501347</v>
      </c>
      <c r="AY9" s="57"/>
    </row>
    <row r="10" spans="1:51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  <c r="AT10">
        <v>1050882564</v>
      </c>
      <c r="AU10">
        <v>9261322948.2756004</v>
      </c>
      <c r="AV10">
        <f>SUM($AT$10+$AU$10)</f>
        <v>10312205512.2756</v>
      </c>
      <c r="AX10" s="57">
        <f t="shared" si="10"/>
        <v>0.13516544216957338</v>
      </c>
      <c r="AY10" s="57"/>
    </row>
    <row r="11" spans="1:51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  <c r="AT11">
        <v>387657160</v>
      </c>
      <c r="AU11">
        <v>1727787962.1199999</v>
      </c>
      <c r="AV11">
        <f>SUM($AT$11+$AU$11)</f>
        <v>2115445122.1199999</v>
      </c>
      <c r="AX11" s="57">
        <f t="shared" si="10"/>
        <v>4.0478031683087945E-2</v>
      </c>
      <c r="AY11" s="57"/>
    </row>
    <row r="12" spans="1:51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  <c r="AT12">
        <v>462531241</v>
      </c>
      <c r="AU12">
        <v>2723753972.0008001</v>
      </c>
      <c r="AV12">
        <f>SUM($AT$12+$AU$12)</f>
        <v>3186285213.0008001</v>
      </c>
      <c r="AX12" s="57">
        <f t="shared" si="10"/>
        <v>1.1351224563880047E-2</v>
      </c>
      <c r="AY12" s="57"/>
    </row>
    <row r="13" spans="1:51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  <c r="AT13">
        <v>2101847810</v>
      </c>
      <c r="AU13">
        <v>26915632500.516998</v>
      </c>
      <c r="AV13">
        <f>SUM($AT$13+$AU$13)</f>
        <v>29017480310.516998</v>
      </c>
      <c r="AX13" s="57">
        <f t="shared" si="10"/>
        <v>1.8354015533948775E-2</v>
      </c>
      <c r="AY13" s="57"/>
    </row>
    <row r="14" spans="1:51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  <c r="AT14">
        <v>483116351</v>
      </c>
      <c r="AU14">
        <v>1991357287.1868999</v>
      </c>
      <c r="AV14">
        <f>SUM($AT$14+$AU$14)</f>
        <v>2474473638.1869001</v>
      </c>
      <c r="AX14" s="57">
        <f t="shared" si="10"/>
        <v>0.10311132288659985</v>
      </c>
      <c r="AY14" s="57"/>
    </row>
    <row r="15" spans="1:51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  <c r="AT15">
        <v>459422494</v>
      </c>
      <c r="AU15">
        <v>2945633262.5303998</v>
      </c>
      <c r="AV15">
        <f>SUM($AT$15+$AU$15)</f>
        <v>3405055756.5303998</v>
      </c>
      <c r="AX15" s="57">
        <f t="shared" si="10"/>
        <v>0</v>
      </c>
      <c r="AY15" s="57"/>
    </row>
    <row r="16" spans="1:51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  <c r="AT16">
        <v>92102524</v>
      </c>
      <c r="AU16">
        <v>192107444.55920002</v>
      </c>
      <c r="AV16">
        <f>SUM($AT$16+$AU$16)</f>
        <v>284209968.55920005</v>
      </c>
      <c r="AX16" s="57">
        <f t="shared" si="10"/>
        <v>2.0561269083841927E-2</v>
      </c>
      <c r="AY16" s="57"/>
    </row>
    <row r="17" spans="2:51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  <c r="AT17">
        <v>877657388</v>
      </c>
      <c r="AU17">
        <v>7256734581.2004004</v>
      </c>
      <c r="AV17">
        <f>SUM($AT$17+$AU$17)</f>
        <v>8134391969.2004004</v>
      </c>
      <c r="AX17" s="57">
        <f t="shared" si="10"/>
        <v>4.7824227327590396E-2</v>
      </c>
      <c r="AY17" s="57"/>
    </row>
    <row r="18" spans="2:51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  <c r="AT18">
        <v>230549745</v>
      </c>
      <c r="AU18">
        <v>941887928.22300005</v>
      </c>
      <c r="AV18">
        <f>SUM($AT$18+$AU$18)</f>
        <v>1172437673.223</v>
      </c>
      <c r="AX18" s="57">
        <f t="shared" si="10"/>
        <v>7.8826209730491037E-2</v>
      </c>
      <c r="AY18" s="57"/>
    </row>
    <row r="19" spans="2:51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  <c r="AT19">
        <v>1875125008</v>
      </c>
      <c r="AU19">
        <v>24556449592.267197</v>
      </c>
      <c r="AV19">
        <f>SUM($AT$19+$AU$19)</f>
        <v>26431574600.267197</v>
      </c>
      <c r="AX19" s="57">
        <f t="shared" si="10"/>
        <v>4.696483314631128E-2</v>
      </c>
      <c r="AY19" s="57"/>
    </row>
    <row r="20" spans="2:51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  <c r="AT20">
        <v>1016743304</v>
      </c>
      <c r="AU20">
        <v>8416804419.1728001</v>
      </c>
      <c r="AV20">
        <f>SUM($AT$20+$AU$20)</f>
        <v>9433547723.1728001</v>
      </c>
      <c r="AX20" s="57">
        <f t="shared" si="10"/>
        <v>0.18292785733502392</v>
      </c>
      <c r="AY20" s="57"/>
    </row>
    <row r="21" spans="2:51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  <c r="AT21">
        <v>2090454953</v>
      </c>
      <c r="AU21">
        <v>31772406739.656403</v>
      </c>
      <c r="AV21">
        <f>SUM($AT$21+$AU$21)</f>
        <v>33862861692.656403</v>
      </c>
      <c r="AX21" s="57">
        <f t="shared" si="10"/>
        <v>0.10791236195650877</v>
      </c>
      <c r="AY21" s="57"/>
    </row>
    <row r="22" spans="2:51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  <c r="AT22">
        <v>1002367664</v>
      </c>
      <c r="AU22">
        <v>8370070704.6991997</v>
      </c>
      <c r="AV22">
        <f>SUM($AT$22+$AU$22)</f>
        <v>9372438368.6991997</v>
      </c>
      <c r="AX22" s="57">
        <f t="shared" si="10"/>
        <v>5.3740848029113053E-2</v>
      </c>
      <c r="AY22" s="57"/>
    </row>
    <row r="23" spans="2:51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  <c r="AT23">
        <v>555341207</v>
      </c>
      <c r="AU23">
        <v>3039993301.2386999</v>
      </c>
      <c r="AV23">
        <f>SUM($AT$23+$AU$23)</f>
        <v>3595334508.2386999</v>
      </c>
      <c r="AX23" s="57">
        <f t="shared" si="10"/>
        <v>0.14583325433529892</v>
      </c>
      <c r="AY23" s="57"/>
    </row>
    <row r="24" spans="2:51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  <c r="AT24">
        <v>972894048</v>
      </c>
      <c r="AU24">
        <v>8550960366.6815996</v>
      </c>
      <c r="AV24">
        <f>SUM($AT$24+$AU$24)</f>
        <v>9523854414.6815987</v>
      </c>
      <c r="AX24" s="57">
        <f t="shared" si="10"/>
        <v>0.13803329343595361</v>
      </c>
      <c r="AY24" s="57"/>
    </row>
    <row r="25" spans="2:51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  <c r="AT25">
        <v>1299889253</v>
      </c>
      <c r="AU25">
        <v>13578773125.763298</v>
      </c>
      <c r="AV25">
        <f>SUM($AT$25+$AU$25)</f>
        <v>14878662378.763298</v>
      </c>
      <c r="AX25" s="57">
        <f t="shared" si="10"/>
        <v>5.0297524661959692E-2</v>
      </c>
      <c r="AY25" s="57"/>
    </row>
    <row r="26" spans="2:51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>
        <v>612325268.52859998</v>
      </c>
      <c r="AP26">
        <f>SUM($AN$26+$AO$26)</f>
        <v>809201761.52859998</v>
      </c>
      <c r="AQ26">
        <v>238414439</v>
      </c>
      <c r="AR26">
        <v>855407165.6881001</v>
      </c>
      <c r="AS26">
        <f>SUM($AQ$26+$AR$26)</f>
        <v>1093821604.6881001</v>
      </c>
      <c r="AT26">
        <v>238414439</v>
      </c>
      <c r="AU26">
        <v>855407165.6881001</v>
      </c>
      <c r="AV26">
        <f>SUM($AT$26+$AU$26)</f>
        <v>1093821604.6881001</v>
      </c>
      <c r="AX26" s="57">
        <f t="shared" si="10"/>
        <v>0</v>
      </c>
      <c r="AY26" s="57"/>
    </row>
    <row r="27" spans="2:51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>
        <v>2486488355.4503999</v>
      </c>
      <c r="AP27">
        <f>SUM($AN$27+$AO$27)</f>
        <v>3013097067.4503999</v>
      </c>
      <c r="AQ27">
        <v>727550089</v>
      </c>
      <c r="AR27">
        <v>4250638639.9735999</v>
      </c>
      <c r="AS27">
        <f>SUM($AQ$27+$AR$27)</f>
        <v>4978188728.9736004</v>
      </c>
      <c r="AT27">
        <v>793254379</v>
      </c>
      <c r="AU27">
        <v>4883194631.6861</v>
      </c>
      <c r="AV27">
        <f>SUM($AT$27+$AU$27)</f>
        <v>5676449010.6861</v>
      </c>
      <c r="AX27" s="57">
        <f t="shared" si="10"/>
        <v>0.14026392323146553</v>
      </c>
      <c r="AY27" s="57"/>
    </row>
    <row r="28" spans="2:51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>
        <v>3022501460.0058002</v>
      </c>
      <c r="AP28">
        <f>SUM($AN$28+$AO$28)</f>
        <v>3519247583.0058002</v>
      </c>
      <c r="AQ28">
        <v>832284682</v>
      </c>
      <c r="AR28">
        <v>6722113691.1093998</v>
      </c>
      <c r="AS28">
        <f>SUM($AQ$28+$AR$28)</f>
        <v>7554398373.1093998</v>
      </c>
      <c r="AT28">
        <v>904423819</v>
      </c>
      <c r="AU28">
        <v>7537015895.6365004</v>
      </c>
      <c r="AV28">
        <f>SUM($AT$28+$AU$28)</f>
        <v>8441439714.6365004</v>
      </c>
      <c r="AX28" s="57">
        <f t="shared" si="10"/>
        <v>0.11742051421124522</v>
      </c>
      <c r="AY28" s="57"/>
    </row>
    <row r="29" spans="2:51">
      <c r="B29" s="2" t="s">
        <v>50</v>
      </c>
      <c r="C29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>
        <v>5781470553.9432001</v>
      </c>
      <c r="AP29">
        <f>SUM($AN$29+$AO$29)</f>
        <v>6617039774.9432001</v>
      </c>
      <c r="AQ29">
        <v>1140419488</v>
      </c>
      <c r="AR29">
        <v>10096817978.9568</v>
      </c>
      <c r="AS29">
        <f>SUM($AQ$29+$AR$29)</f>
        <v>11237237466.9568</v>
      </c>
      <c r="AT29">
        <v>1224676113</v>
      </c>
      <c r="AU29">
        <v>11252079191.0214</v>
      </c>
      <c r="AV29">
        <f>SUM($AT$29+$AU$29)</f>
        <v>12476755304.0214</v>
      </c>
      <c r="AX29" s="57">
        <f t="shared" si="10"/>
        <v>0.11030449794350372</v>
      </c>
      <c r="AY29" s="57"/>
    </row>
    <row r="30" spans="2:51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>
        <v>8820331130.4708004</v>
      </c>
      <c r="AP30">
        <f>SUM($AN$30+$AO$30)</f>
        <v>9786000902.4708004</v>
      </c>
      <c r="AQ30">
        <v>1179082992</v>
      </c>
      <c r="AR30">
        <v>12016506404.6688</v>
      </c>
      <c r="AS30">
        <f>SUM($AQ$30+$AR$30)</f>
        <v>13195589396.6688</v>
      </c>
      <c r="AT30">
        <v>1230167942</v>
      </c>
      <c r="AU30">
        <v>12535534345.7742</v>
      </c>
      <c r="AV30">
        <f>SUM($AT$30+$AU$30)</f>
        <v>13765702287.7742</v>
      </c>
      <c r="AX30" s="57">
        <f t="shared" si="10"/>
        <v>4.3204806846242505E-2</v>
      </c>
      <c r="AY30" s="57"/>
    </row>
    <row r="31" spans="2:51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>
        <v>2004491131.24</v>
      </c>
      <c r="AP31">
        <f>SUM($AN$31+$AO$31)</f>
        <v>2352553491.2399998</v>
      </c>
      <c r="AQ31">
        <v>547444764</v>
      </c>
      <c r="AR31">
        <v>3660270436.5804</v>
      </c>
      <c r="AS31">
        <f>SUM($AQ$31+$AR$31)</f>
        <v>4207715200.5804</v>
      </c>
      <c r="AT31">
        <v>589333879</v>
      </c>
      <c r="AU31">
        <v>4241789527.4903998</v>
      </c>
      <c r="AV31">
        <f>SUM($AT$31+$AU$31)</f>
        <v>4831123406.4904003</v>
      </c>
      <c r="AX31" s="57">
        <f t="shared" si="10"/>
        <v>0.14815836533423399</v>
      </c>
      <c r="AY31" s="57"/>
    </row>
    <row r="32" spans="2:51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>
        <v>2328676177.3659997</v>
      </c>
      <c r="AP32">
        <f>SUM($AN$32+$AO$32)</f>
        <v>2739341229.3659997</v>
      </c>
      <c r="AQ32">
        <v>501865807</v>
      </c>
      <c r="AR32">
        <v>3152620626.4125996</v>
      </c>
      <c r="AS32">
        <f>SUM($AQ$32+$AR$32)</f>
        <v>3654486433.4125996</v>
      </c>
      <c r="AT32">
        <v>530969792</v>
      </c>
      <c r="AU32">
        <v>3399640287.2384</v>
      </c>
      <c r="AV32">
        <f>SUM($AT$32+$AU$32)</f>
        <v>3930610079.2384</v>
      </c>
      <c r="AX32" s="57">
        <f t="shared" si="10"/>
        <v>7.5557441751932686E-2</v>
      </c>
      <c r="AY32" s="57"/>
    </row>
    <row r="33" spans="2:51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>
        <v>2526532967.4780002</v>
      </c>
      <c r="AP33">
        <f>SUM($AN$33+$AO$33)</f>
        <v>2942697185.4780002</v>
      </c>
      <c r="AQ33">
        <v>590187612</v>
      </c>
      <c r="AR33">
        <v>4034168403.0647998</v>
      </c>
      <c r="AS33">
        <f>SUM($AQ$33+$AR$33)</f>
        <v>4624356015.0648003</v>
      </c>
      <c r="AT33">
        <v>599553543</v>
      </c>
      <c r="AU33">
        <v>4168875650.5419002</v>
      </c>
      <c r="AV33">
        <f>SUM($AT$33+$AU$33)</f>
        <v>4768429193.5419006</v>
      </c>
      <c r="AX33" s="57">
        <f t="shared" si="10"/>
        <v>3.1155295571481112E-2</v>
      </c>
      <c r="AY33" s="57"/>
    </row>
    <row r="34" spans="2:51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>
        <v>4098917333.2744002</v>
      </c>
      <c r="AP34">
        <f>SUM($AN$34+$AO$34)</f>
        <v>4749157245.2744007</v>
      </c>
      <c r="AQ34">
        <v>883718834</v>
      </c>
      <c r="AR34">
        <v>7093611080.5180006</v>
      </c>
      <c r="AS34">
        <f>SUM($AQ$34+$AR$34)</f>
        <v>7977329914.5180006</v>
      </c>
      <c r="AT34">
        <v>970769449</v>
      </c>
      <c r="AU34">
        <v>8224844156.6525002</v>
      </c>
      <c r="AV34">
        <f>SUM($AT$34+$AU$34)</f>
        <v>9195613605.6525002</v>
      </c>
      <c r="AX34" s="57">
        <f t="shared" si="10"/>
        <v>0.15271822830309878</v>
      </c>
      <c r="AY34" s="57"/>
    </row>
    <row r="35" spans="2:51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>
        <v>5625529779.9359999</v>
      </c>
      <c r="AP35">
        <f>SUM($AN$35+$AO$35)</f>
        <v>6485097939.9359999</v>
      </c>
      <c r="AQ35">
        <v>1120142063</v>
      </c>
      <c r="AR35">
        <v>9572734070.3980007</v>
      </c>
      <c r="AS35">
        <f>SUM($AQ$35+$AR$35)</f>
        <v>10692876133.398001</v>
      </c>
      <c r="AT35">
        <v>1203531203</v>
      </c>
      <c r="AU35">
        <v>10717565715.8353</v>
      </c>
      <c r="AV35">
        <f>SUM($AT$35+$AU$35)</f>
        <v>11921096918.8353</v>
      </c>
      <c r="AX35" s="57">
        <f t="shared" si="10"/>
        <v>0.1148634633109693</v>
      </c>
      <c r="AY35" s="57"/>
    </row>
    <row r="36" spans="2:51">
      <c r="B36" s="2" t="s">
        <v>39</v>
      </c>
      <c r="C36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>
        <v>306716282.13819999</v>
      </c>
      <c r="AP36">
        <f>SUM($AN$36+$AO$36)</f>
        <v>416246076.13819999</v>
      </c>
      <c r="AQ36">
        <v>129505094</v>
      </c>
      <c r="AR36">
        <v>420295832.06760001</v>
      </c>
      <c r="AS36">
        <f>SUM($AQ$36+$AR$36)</f>
        <v>549800926.06760001</v>
      </c>
      <c r="AT36">
        <v>140456434</v>
      </c>
      <c r="AU36">
        <v>470641419.04719996</v>
      </c>
      <c r="AV36">
        <f>SUM($AT$36+$AU$36)</f>
        <v>611097853.04719996</v>
      </c>
      <c r="AX36" s="57">
        <f t="shared" si="10"/>
        <v>0.1114893119915612</v>
      </c>
      <c r="AY36" s="57"/>
    </row>
    <row r="37" spans="2:51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>
        <v>2036354385.6999998</v>
      </c>
      <c r="AP37">
        <f>SUM($AN$37+$AO$37)</f>
        <v>2417837035.6999998</v>
      </c>
      <c r="AQ37">
        <v>506178962</v>
      </c>
      <c r="AR37">
        <v>3099688109.5994</v>
      </c>
      <c r="AS37">
        <f>SUM($AQ$37+$AR$37)</f>
        <v>3605867071.5994</v>
      </c>
      <c r="AT37">
        <v>513890777</v>
      </c>
      <c r="AU37">
        <v>3183861697.9811997</v>
      </c>
      <c r="AV37">
        <f>SUM($AT$37+$AU$37)</f>
        <v>3697752474.9811997</v>
      </c>
      <c r="AX37" s="57">
        <f t="shared" si="10"/>
        <v>2.548219375736549E-2</v>
      </c>
      <c r="AY37" s="57"/>
    </row>
    <row r="38" spans="2:51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>
        <v>407544140.2536</v>
      </c>
      <c r="AP38">
        <f>SUM($AN$38+$AO$38)</f>
        <v>572849624.2536</v>
      </c>
      <c r="AQ38">
        <v>165955759</v>
      </c>
      <c r="AR38">
        <v>409628599.93970001</v>
      </c>
      <c r="AS38">
        <f>SUM($AQ$38+$AR$38)</f>
        <v>575584358.93970001</v>
      </c>
      <c r="AT38">
        <v>165955759</v>
      </c>
      <c r="AU38">
        <v>409628599.93970001</v>
      </c>
      <c r="AV38">
        <f>SUM($AT$38+$AU$38)</f>
        <v>575584358.93970001</v>
      </c>
      <c r="AX38" s="57">
        <f t="shared" si="10"/>
        <v>0</v>
      </c>
      <c r="AY38" s="57"/>
    </row>
    <row r="39" spans="2:51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>
        <v>1373326667.2902</v>
      </c>
      <c r="AP39">
        <f>SUM($AN$39+$AO$39)</f>
        <v>1719680269.2902</v>
      </c>
      <c r="AQ39">
        <v>451441954</v>
      </c>
      <c r="AR39">
        <v>2146335626.0976</v>
      </c>
      <c r="AS39">
        <f>SUM($AQ$39+$AR$39)</f>
        <v>2597777580.0976</v>
      </c>
      <c r="AT39">
        <v>459370529</v>
      </c>
      <c r="AU39">
        <v>2199374218.7462001</v>
      </c>
      <c r="AV39">
        <f>SUM($AT$39+$AU$39)</f>
        <v>2658744747.7462001</v>
      </c>
      <c r="AX39" s="57">
        <f t="shared" si="10"/>
        <v>2.3468971368330038E-2</v>
      </c>
      <c r="AY39" s="57"/>
    </row>
    <row r="40" spans="2:51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>
        <v>1030707322.6061</v>
      </c>
      <c r="AP40">
        <f>SUM($AN$40+$AO$40)</f>
        <v>1314969801.6061001</v>
      </c>
      <c r="AQ40">
        <v>394471253</v>
      </c>
      <c r="AR40">
        <v>1850346306.4470999</v>
      </c>
      <c r="AS40">
        <f>SUM($AQ$40+$AR$40)</f>
        <v>2244817559.4470997</v>
      </c>
      <c r="AT40">
        <v>404299344</v>
      </c>
      <c r="AU40">
        <v>1985797087.9248002</v>
      </c>
      <c r="AV40">
        <f>SUM($AT$40+$AU$40)</f>
        <v>2390096431.9247999</v>
      </c>
      <c r="AX40" s="57">
        <f t="shared" si="10"/>
        <v>6.4717451922232216E-2</v>
      </c>
      <c r="AY40" s="57"/>
    </row>
    <row r="41" spans="2:51">
      <c r="B41" t="s">
        <v>54</v>
      </c>
      <c r="C41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>
        <v>1108037582.0339</v>
      </c>
      <c r="AP41">
        <f>SUM($AN$41+$AO$41)</f>
        <v>1427605425.0339</v>
      </c>
      <c r="AQ41">
        <v>500321608</v>
      </c>
      <c r="AR41">
        <v>2507912092.2607999</v>
      </c>
      <c r="AS41">
        <f>SUM($AQ$41+$AR$41)</f>
        <v>3008233700.2607999</v>
      </c>
      <c r="AT41">
        <v>504957193</v>
      </c>
      <c r="AU41">
        <v>2554073482.1940002</v>
      </c>
      <c r="AV41">
        <f>SUM($AT$41+$AU$41)</f>
        <v>3059030675.1940002</v>
      </c>
      <c r="AX41" s="57">
        <f t="shared" si="10"/>
        <v>1.6885980277661528E-2</v>
      </c>
      <c r="AY41" s="57"/>
    </row>
    <row r="42" spans="2:51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>
        <v>843448216.63080013</v>
      </c>
      <c r="AP42">
        <f>SUM($AN$42+$AO$42)</f>
        <v>1128483604.6308002</v>
      </c>
      <c r="AQ42">
        <v>462039421</v>
      </c>
      <c r="AR42">
        <v>2036715971.7100999</v>
      </c>
      <c r="AS42">
        <f>SUM($AQ$42+$AR$42)</f>
        <v>2498755392.7101002</v>
      </c>
      <c r="AT42">
        <v>492079091</v>
      </c>
      <c r="AU42">
        <v>2307260441.8807998</v>
      </c>
      <c r="AV42">
        <f>SUM($AT$42+$AU$42)</f>
        <v>2799339532.8807998</v>
      </c>
      <c r="AX42" s="57">
        <f t="shared" si="10"/>
        <v>0.12029354335667564</v>
      </c>
      <c r="AY42" s="57"/>
    </row>
    <row r="43" spans="2:51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>
        <v>341523948.3944</v>
      </c>
      <c r="AP43">
        <f>SUM($AN$43+$AO$43)</f>
        <v>491895535.3944</v>
      </c>
      <c r="AQ43">
        <v>192808366</v>
      </c>
      <c r="AR43">
        <v>584864897.42439997</v>
      </c>
      <c r="AS43">
        <f>SUM($AQ$43+$AR$43)</f>
        <v>777673263.42439997</v>
      </c>
      <c r="AT43">
        <v>204439891</v>
      </c>
      <c r="AU43">
        <v>655413846.55689991</v>
      </c>
      <c r="AV43">
        <f>SUM($AT$43+$AU$43)</f>
        <v>859853737.55689991</v>
      </c>
      <c r="AX43" s="57">
        <f t="shared" si="10"/>
        <v>0.10567480971459298</v>
      </c>
      <c r="AY43" s="57"/>
    </row>
    <row r="44" spans="2:51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>
        <v>2442681125.618</v>
      </c>
      <c r="AP44">
        <f>SUM($AN$44+$AO$44)</f>
        <v>2846857630.618</v>
      </c>
      <c r="AQ44">
        <v>590367322</v>
      </c>
      <c r="AR44">
        <v>4342092616.5777998</v>
      </c>
      <c r="AS44">
        <f>SUM($AQ$44+$AR$44)</f>
        <v>4932459938.5777998</v>
      </c>
      <c r="AT44">
        <v>617219472</v>
      </c>
      <c r="AU44">
        <v>4620072913.7615995</v>
      </c>
      <c r="AV44">
        <f>SUM($AT$44+$AU$44)</f>
        <v>5237292385.7615995</v>
      </c>
      <c r="AX44" s="57">
        <f t="shared" si="10"/>
        <v>6.1801302185881202E-2</v>
      </c>
      <c r="AY44" s="57"/>
    </row>
    <row r="45" spans="2:51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>
        <v>4953866696.5271997</v>
      </c>
      <c r="AP45">
        <f>SUM($AN$45+$AO$45)</f>
        <v>5713452500.5271997</v>
      </c>
      <c r="AQ45">
        <v>1015687764</v>
      </c>
      <c r="AR45">
        <v>8251041119.6303997</v>
      </c>
      <c r="AS45">
        <f>SUM($AQ$45+$AR$45)</f>
        <v>9266728883.6303997</v>
      </c>
      <c r="AT45">
        <v>1062169299</v>
      </c>
      <c r="AU45">
        <v>8845321054.3523998</v>
      </c>
      <c r="AV45">
        <f>SUM($AT$45+$AU$45)</f>
        <v>9907490353.3523998</v>
      </c>
      <c r="AX45" s="57">
        <f t="shared" si="10"/>
        <v>6.9146456939503276E-2</v>
      </c>
      <c r="AY45" s="57"/>
    </row>
    <row r="46" spans="2:51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>
        <v>774425965.43800008</v>
      </c>
      <c r="AP46">
        <f>SUM($AN$46+$AO$46)</f>
        <v>994714961.43800008</v>
      </c>
      <c r="AQ46">
        <v>327399906</v>
      </c>
      <c r="AR46">
        <v>1454736002.3297999</v>
      </c>
      <c r="AS46">
        <f>SUM($AQ$46+$AR$46)</f>
        <v>1782135908.3297999</v>
      </c>
      <c r="AT46">
        <v>332861311</v>
      </c>
      <c r="AU46">
        <v>1501437515.5276999</v>
      </c>
      <c r="AV46">
        <f>SUM($AT$46+$AU$46)</f>
        <v>1834298826.5276999</v>
      </c>
      <c r="AX46" s="57">
        <f t="shared" si="10"/>
        <v>2.926988786550333E-2</v>
      </c>
      <c r="AY46" s="57"/>
    </row>
    <row r="47" spans="2:51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>
        <v>3978965664.0869999</v>
      </c>
      <c r="AP47">
        <f>SUM($AN$47+$AO$47)</f>
        <v>4600048262.0869999</v>
      </c>
      <c r="AQ47">
        <v>822315715</v>
      </c>
      <c r="AR47">
        <v>6193024112.8079996</v>
      </c>
      <c r="AS47">
        <f>SUM($AQ$47+$AR$47)</f>
        <v>7015339827.8079996</v>
      </c>
      <c r="AT47">
        <v>877748175</v>
      </c>
      <c r="AU47">
        <v>6849420108.7950001</v>
      </c>
      <c r="AV47">
        <f>SUM($AT$47+$AU$47)</f>
        <v>7727168283.7950001</v>
      </c>
      <c r="AX47" s="57">
        <f t="shared" si="10"/>
        <v>0.1014674233121815</v>
      </c>
      <c r="AY47" s="57"/>
    </row>
    <row r="48" spans="2:51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>
        <v>6194864707.0464001</v>
      </c>
      <c r="AP48">
        <f>SUM($AN$48+$AO$48)</f>
        <v>7090775491.0464001</v>
      </c>
      <c r="AQ48">
        <v>1202844079</v>
      </c>
      <c r="AR48">
        <v>10603792262.832399</v>
      </c>
      <c r="AS48">
        <f>SUM($AQ$48+$AR$48)</f>
        <v>11806636341.832399</v>
      </c>
      <c r="AT48">
        <v>1260636264</v>
      </c>
      <c r="AU48">
        <v>11302108361.2656</v>
      </c>
      <c r="AV48">
        <f>SUM($AT$48+$AU$48)</f>
        <v>12562744625.2656</v>
      </c>
      <c r="AX48" s="57">
        <f t="shared" si="10"/>
        <v>6.4040956419925799E-2</v>
      </c>
      <c r="AY48" s="57"/>
    </row>
    <row r="49" spans="2:51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>
        <v>12103082905.725</v>
      </c>
      <c r="AP49">
        <f>SUM($AN$49+$AO$49)</f>
        <v>13293042880.725</v>
      </c>
      <c r="AQ49">
        <v>1597438994</v>
      </c>
      <c r="AR49">
        <v>19327574132.305401</v>
      </c>
      <c r="AS49">
        <f>SUM($AQ$49+$AR$49)</f>
        <v>20925013126.305401</v>
      </c>
      <c r="AT49">
        <v>1691162984</v>
      </c>
      <c r="AU49">
        <v>20946575603.5256</v>
      </c>
      <c r="AV49">
        <f>SUM($AT$49+$AU$49)</f>
        <v>22637738587.5256</v>
      </c>
      <c r="AX49" s="57">
        <f t="shared" si="10"/>
        <v>8.1850627805202469E-2</v>
      </c>
      <c r="AY49" s="57"/>
    </row>
    <row r="50" spans="2:51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>
        <v>1436122319.7695999</v>
      </c>
      <c r="AP50">
        <f>SUM($AN$50+$AO$50)</f>
        <v>1758527653.7695999</v>
      </c>
      <c r="AQ50">
        <v>446056902</v>
      </c>
      <c r="AR50">
        <v>2485964326.2264004</v>
      </c>
      <c r="AS50">
        <f>SUM($AQ$50+$AR$50)</f>
        <v>2932021228.2264004</v>
      </c>
      <c r="AT50">
        <v>469456948</v>
      </c>
      <c r="AU50">
        <v>2640413658.3312001</v>
      </c>
      <c r="AV50">
        <f>SUM($AT$50+$AU$50)</f>
        <v>3109870606.3312001</v>
      </c>
      <c r="AX50" s="57">
        <f t="shared" si="10"/>
        <v>6.0657602473220162E-2</v>
      </c>
      <c r="AY50" s="57"/>
    </row>
    <row r="51" spans="2:51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>
        <v>18773350060.147202</v>
      </c>
      <c r="AP51">
        <f>SUM($AN$51+$AO$51)</f>
        <v>20351685248.147202</v>
      </c>
      <c r="AQ51">
        <v>2079043746</v>
      </c>
      <c r="AR51">
        <v>29585832027.452999</v>
      </c>
      <c r="AS51">
        <f>SUM($AQ$51+$AR$51)</f>
        <v>31664875773.452999</v>
      </c>
      <c r="AT51">
        <v>2183487746</v>
      </c>
      <c r="AU51">
        <v>31921062405.097801</v>
      </c>
      <c r="AV51">
        <f>SUM($AT$51+$AU$51)</f>
        <v>34104550151.097801</v>
      </c>
      <c r="AX51" s="57">
        <f t="shared" si="10"/>
        <v>7.7046706107407603E-2</v>
      </c>
      <c r="AY51" s="57"/>
    </row>
    <row r="52" spans="2:51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>
        <v>6117821280.8207998</v>
      </c>
      <c r="AP52">
        <f>SUM($AN$52+$AO$52)</f>
        <v>6927763992.8207998</v>
      </c>
      <c r="AQ52">
        <v>1286576498</v>
      </c>
      <c r="AR52">
        <v>13163736096.9368</v>
      </c>
      <c r="AS52">
        <f>SUM($AQ$52+$AR$52)</f>
        <v>14450312594.9368</v>
      </c>
      <c r="AT52">
        <v>1370005733</v>
      </c>
      <c r="AU52">
        <v>14364099108.785101</v>
      </c>
      <c r="AV52">
        <f>SUM($AT$52+$AU$52)</f>
        <v>15734104841.785101</v>
      </c>
      <c r="AX52" s="57">
        <f t="shared" si="10"/>
        <v>8.8841832203555571E-2</v>
      </c>
      <c r="AY52" s="57"/>
    </row>
    <row r="53" spans="2:51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>
        <v>620507463.57690001</v>
      </c>
      <c r="AP53">
        <f>SUM($AN$53+$AO$53)</f>
        <v>818266160.57690001</v>
      </c>
      <c r="AQ53">
        <v>222843247</v>
      </c>
      <c r="AR53">
        <v>799115883.7420001</v>
      </c>
      <c r="AS53">
        <f>SUM($AQ$53+$AR$53)</f>
        <v>1021959130.7420001</v>
      </c>
      <c r="AT53">
        <v>236070807</v>
      </c>
      <c r="AU53">
        <v>879009649.86450005</v>
      </c>
      <c r="AV53">
        <f>SUM($AT$53+$AU$53)</f>
        <v>1115080456.8645</v>
      </c>
      <c r="AX53" s="57">
        <f t="shared" si="10"/>
        <v>9.112040131672261E-2</v>
      </c>
      <c r="AY53" s="57"/>
    </row>
    <row r="54" spans="2:51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>
        <v>168394278.111</v>
      </c>
      <c r="AP54">
        <f>SUM($AN$54+$AO$54)</f>
        <v>285676823.111</v>
      </c>
      <c r="AQ54">
        <v>151827280</v>
      </c>
      <c r="AR54">
        <v>296306119.648</v>
      </c>
      <c r="AS54">
        <f>SUM($AQ$54+$AR$54)</f>
        <v>448133399.648</v>
      </c>
      <c r="AT54">
        <v>151232435</v>
      </c>
      <c r="AU54">
        <v>296778530.44400001</v>
      </c>
      <c r="AV54">
        <f>SUM($AT$54+$AU$54)</f>
        <v>448010965.44400001</v>
      </c>
      <c r="AX54" s="57">
        <f t="shared" si="10"/>
        <v>-2.7320928120100341E-4</v>
      </c>
      <c r="AY54" s="57"/>
    </row>
    <row r="55" spans="2:51">
      <c r="B55" s="2" t="s">
        <v>46</v>
      </c>
      <c r="C55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>
        <v>9048967873.669199</v>
      </c>
      <c r="AP55">
        <f>SUM($AN$55+$AO$55)</f>
        <v>10053225955.669199</v>
      </c>
      <c r="AQ55">
        <v>1404610256</v>
      </c>
      <c r="AR55">
        <v>15669270171.833599</v>
      </c>
      <c r="AS55">
        <f>SUM($AQ$55+$AR$55)</f>
        <v>17073880427.833599</v>
      </c>
      <c r="AT55">
        <v>1515202059</v>
      </c>
      <c r="AU55">
        <v>17385731465.3778</v>
      </c>
      <c r="AV55">
        <f>SUM($AT$55+$AU$55)</f>
        <v>18900933524.3778</v>
      </c>
      <c r="AX55" s="57">
        <f t="shared" si="10"/>
        <v>0.10700866181338387</v>
      </c>
      <c r="AY55" s="57"/>
    </row>
    <row r="56" spans="2:51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>
        <v>3839592122.8956003</v>
      </c>
      <c r="AP56">
        <f>SUM($AN$56+$AO$56)</f>
        <v>4445244233.8956003</v>
      </c>
      <c r="AQ56">
        <v>745369177</v>
      </c>
      <c r="AR56">
        <v>5727863977.5742006</v>
      </c>
      <c r="AS56">
        <f>SUM($AQ$56+$AR$56)</f>
        <v>6473233154.5742006</v>
      </c>
      <c r="AT56">
        <v>754987077</v>
      </c>
      <c r="AU56">
        <v>5946504714.5750999</v>
      </c>
      <c r="AV56">
        <f>SUM($AT$56+$AU$56)</f>
        <v>6701491791.5750999</v>
      </c>
      <c r="AX56" s="57">
        <f t="shared" si="10"/>
        <v>3.5261921137446528E-2</v>
      </c>
      <c r="AY56" s="57"/>
    </row>
    <row r="57" spans="2:51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>
        <v>7389793921.7269001</v>
      </c>
      <c r="AP57">
        <f>SUM($AN$57+$AO$57)</f>
        <v>8246392922.7269001</v>
      </c>
      <c r="AQ57">
        <v>1218636041</v>
      </c>
      <c r="AR57">
        <v>12375614587.167299</v>
      </c>
      <c r="AS57">
        <f>SUM($AQ$57+$AR$57)</f>
        <v>13594250628.167299</v>
      </c>
      <c r="AT57">
        <v>1274586156</v>
      </c>
      <c r="AU57">
        <v>13127982489.5688</v>
      </c>
      <c r="AV57">
        <f>SUM($AT$57+$AU$57)</f>
        <v>14402568645.5688</v>
      </c>
      <c r="AX57" s="57">
        <f t="shared" si="10"/>
        <v>5.9460285050701112E-2</v>
      </c>
      <c r="AY57" s="57"/>
    </row>
    <row r="58" spans="2:51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>
        <v>2321491758.2880998</v>
      </c>
      <c r="AP58">
        <f>SUM($AN$58+$AO$58)</f>
        <v>2802540217.2880998</v>
      </c>
      <c r="AQ58">
        <v>635764824</v>
      </c>
      <c r="AR58">
        <v>4135586603.6375999</v>
      </c>
      <c r="AS58">
        <f>SUM($AQ$58+$AR$58)</f>
        <v>4771351427.6375999</v>
      </c>
      <c r="AT58">
        <v>678831744</v>
      </c>
      <c r="AU58">
        <v>4517150074.0991993</v>
      </c>
      <c r="AV58">
        <f>SUM($AT$58+$AU$58)</f>
        <v>5195981818.0991993</v>
      </c>
      <c r="AX58" s="57">
        <f t="shared" si="10"/>
        <v>8.8995832082702675E-2</v>
      </c>
      <c r="AY58" s="57"/>
    </row>
    <row r="59" spans="2:51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>
        <v>3881052543.0430002</v>
      </c>
      <c r="AP59">
        <f>SUM($AN$59+$AO$59)</f>
        <v>4498130888.0430002</v>
      </c>
      <c r="AQ59">
        <v>967316666</v>
      </c>
      <c r="AR59">
        <v>8179919922.6957998</v>
      </c>
      <c r="AS59">
        <f>SUM($AQ$59+$AR$59)</f>
        <v>9147236588.6958008</v>
      </c>
      <c r="AT59">
        <v>1100382676</v>
      </c>
      <c r="AU59">
        <v>9881326392.2124004</v>
      </c>
      <c r="AV59">
        <f>SUM($AT$59+$AU$59)</f>
        <v>10981709068.2124</v>
      </c>
      <c r="AX59" s="57">
        <f t="shared" si="10"/>
        <v>0.20054936392305067</v>
      </c>
      <c r="AY59" s="57"/>
    </row>
    <row r="60" spans="2:51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>
        <v>1802162012.4954002</v>
      </c>
      <c r="AP60">
        <f>SUM($AN$60+$AO$60)</f>
        <v>2238541985.4954004</v>
      </c>
      <c r="AQ60">
        <v>624052832</v>
      </c>
      <c r="AR60">
        <v>4049978069.1136003</v>
      </c>
      <c r="AS60">
        <f>SUM($AQ$60+$AR$60)</f>
        <v>4674030901.1135998</v>
      </c>
      <c r="AT60">
        <v>746898007</v>
      </c>
      <c r="AU60">
        <v>5070317120.5194998</v>
      </c>
      <c r="AV60">
        <f>SUM($AT$60+$AU$60)</f>
        <v>5817215127.5194998</v>
      </c>
      <c r="AX60" s="57">
        <f t="shared" si="10"/>
        <v>0.24458208569685191</v>
      </c>
      <c r="AY60" s="57"/>
    </row>
    <row r="61" spans="2:51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>
        <v>2075359205.9094</v>
      </c>
      <c r="AP61">
        <f>SUM($AN$61+$AO$61)</f>
        <v>2526024599.9094</v>
      </c>
      <c r="AQ61">
        <v>597171944</v>
      </c>
      <c r="AR61">
        <v>3534780170.9247999</v>
      </c>
      <c r="AS61">
        <f>SUM($AQ$61+$AR$61)</f>
        <v>4131952114.9247999</v>
      </c>
      <c r="AT61">
        <v>603961244</v>
      </c>
      <c r="AU61">
        <v>3649858589.7408004</v>
      </c>
      <c r="AV61">
        <f>SUM($AT$61+$AU$61)</f>
        <v>4253819833.7408004</v>
      </c>
      <c r="AX61" s="57">
        <f t="shared" si="10"/>
        <v>2.9493981398237556E-2</v>
      </c>
      <c r="AY61" s="57"/>
    </row>
    <row r="62" spans="2:51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>
        <v>7822757787.0797997</v>
      </c>
      <c r="AP62">
        <f>SUM($AN$62+$AO$62)</f>
        <v>8878417853.0797997</v>
      </c>
      <c r="AQ62">
        <v>1383563508</v>
      </c>
      <c r="AR62">
        <v>12905880402.623999</v>
      </c>
      <c r="AS62">
        <f>SUM($AQ$62+$AR$62)</f>
        <v>14289443910.623999</v>
      </c>
      <c r="AT62">
        <v>1418288593</v>
      </c>
      <c r="AU62">
        <v>13470763227.454699</v>
      </c>
      <c r="AV62">
        <f>SUM($AT$62+$AU$62)</f>
        <v>14889051820.454699</v>
      </c>
      <c r="AX62" s="57">
        <f t="shared" si="10"/>
        <v>4.196159861650739E-2</v>
      </c>
      <c r="AY62" s="57"/>
    </row>
    <row r="63" spans="2:51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>
        <v>1024411775.6279999</v>
      </c>
      <c r="AP63">
        <f>SUM($AN$63+$AO$63)</f>
        <v>1308560165.6279998</v>
      </c>
      <c r="AQ63">
        <v>395156076</v>
      </c>
      <c r="AR63">
        <v>1731099737.7407999</v>
      </c>
      <c r="AS63">
        <f>SUM($AQ$63+$AR$63)</f>
        <v>2126255813.7407999</v>
      </c>
      <c r="AT63">
        <v>463493235</v>
      </c>
      <c r="AU63">
        <v>2258926979.4194999</v>
      </c>
      <c r="AV63">
        <f>SUM($AT$63+$AU$63)</f>
        <v>2722420214.4194999</v>
      </c>
      <c r="AX63" s="57">
        <f t="shared" si="10"/>
        <v>0.28038225543042539</v>
      </c>
      <c r="AY63" s="57"/>
    </row>
    <row r="64" spans="2:51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>
        <v>1340831923.6304998</v>
      </c>
      <c r="AP64">
        <f>SUM($AN$64+$AO$64)</f>
        <v>1702583420.6304998</v>
      </c>
      <c r="AQ64">
        <v>530624702</v>
      </c>
      <c r="AR64">
        <v>2722263908.6705999</v>
      </c>
      <c r="AS64">
        <f>SUM($AQ$64+$AR$64)</f>
        <v>3252888610.6705999</v>
      </c>
      <c r="AT64">
        <v>555794042</v>
      </c>
      <c r="AU64">
        <v>2945208207.9621997</v>
      </c>
      <c r="AV64">
        <f>SUM($AT$64+$AU$64)</f>
        <v>3501002249.9621997</v>
      </c>
      <c r="AX64" s="57">
        <f t="shared" si="10"/>
        <v>7.6274864893221661E-2</v>
      </c>
      <c r="AY64" s="57"/>
    </row>
    <row r="65" spans="2:51">
      <c r="B65" t="s">
        <v>221</v>
      </c>
      <c r="C65" t="s">
        <v>207</v>
      </c>
      <c r="D65">
        <v>1707315202.0895</v>
      </c>
      <c r="E65">
        <v>1707315202.0895</v>
      </c>
      <c r="F65">
        <v>1707315202.0895</v>
      </c>
      <c r="G65">
        <v>1707315202.0895</v>
      </c>
      <c r="H65">
        <v>1707315202.0895</v>
      </c>
      <c r="I65">
        <v>1707315202.0895</v>
      </c>
      <c r="J65">
        <v>1707315202.0895</v>
      </c>
      <c r="K65">
        <v>1707315202.0895</v>
      </c>
      <c r="L65">
        <v>1707315202.0895</v>
      </c>
      <c r="M65">
        <v>1707315202.0895</v>
      </c>
      <c r="N65">
        <v>1707315202.0895</v>
      </c>
      <c r="O65">
        <v>1707315202.0895</v>
      </c>
      <c r="P65">
        <v>1707315202.0895</v>
      </c>
      <c r="Q65">
        <v>1707315202.0895</v>
      </c>
      <c r="R65">
        <v>1707315202.0895</v>
      </c>
      <c r="S65">
        <v>1707315202.0895</v>
      </c>
      <c r="T65">
        <v>1707315202.0895</v>
      </c>
      <c r="U65">
        <v>1707315202.0895</v>
      </c>
      <c r="V65">
        <v>1707315202.0895</v>
      </c>
      <c r="W65">
        <v>1707315202.0895</v>
      </c>
      <c r="X65">
        <v>1707315202.0895</v>
      </c>
      <c r="Y65">
        <v>1707315202.0895</v>
      </c>
      <c r="Z65">
        <v>1707315202.0895</v>
      </c>
      <c r="AA65">
        <v>1707315202.0895</v>
      </c>
      <c r="AB65">
        <v>1707315202.0895</v>
      </c>
      <c r="AC65">
        <v>1707315202.0895</v>
      </c>
      <c r="AD65">
        <v>1707315202.0895</v>
      </c>
      <c r="AE65">
        <v>1707315202.0895</v>
      </c>
      <c r="AF65">
        <v>1707315202.0895</v>
      </c>
      <c r="AG65">
        <v>1707315202.0895</v>
      </c>
      <c r="AH65">
        <v>437539964</v>
      </c>
      <c r="AI65">
        <v>2295028373.1691999</v>
      </c>
      <c r="AJ65">
        <f>SUM($AN$65+$AO$65)</f>
        <v>2732568337.1691999</v>
      </c>
      <c r="AK65">
        <v>437539964</v>
      </c>
      <c r="AL65">
        <v>2295028373.1691999</v>
      </c>
      <c r="AM65">
        <f>SUM($AN$65+$AO$65)</f>
        <v>2732568337.1691999</v>
      </c>
      <c r="AN65">
        <v>437539964</v>
      </c>
      <c r="AO65">
        <v>2295028373.1691999</v>
      </c>
      <c r="AP65">
        <f>SUM($AN$65+$AO$65)</f>
        <v>2732568337.1691999</v>
      </c>
      <c r="AQ65">
        <v>437539964</v>
      </c>
      <c r="AR65">
        <v>2295028373.1691999</v>
      </c>
      <c r="AS65">
        <f>SUM($AQ$65+$AR$65)</f>
        <v>2732568337.1691999</v>
      </c>
      <c r="AT65">
        <v>474697289</v>
      </c>
      <c r="AU65">
        <v>2557336705.0297003</v>
      </c>
      <c r="AV65">
        <f>SUM($AT$65+$AU$65)</f>
        <v>3032033994.0297003</v>
      </c>
      <c r="AX65" s="57">
        <f t="shared" si="10"/>
        <v>0.10959127820778725</v>
      </c>
      <c r="AY65" s="57"/>
    </row>
    <row r="66" spans="2:51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>
        <v>5041562980.3037996</v>
      </c>
      <c r="AP66">
        <f>SUM($AN$66+$AO$66)</f>
        <v>5761611394.3037996</v>
      </c>
      <c r="AQ66">
        <v>1028364979</v>
      </c>
      <c r="AR66">
        <v>8991509193.8864994</v>
      </c>
      <c r="AS66">
        <f>SUM($AQ$66+$AR$66)</f>
        <v>10019874172.886499</v>
      </c>
      <c r="AT66">
        <v>1119054619</v>
      </c>
      <c r="AU66">
        <v>10305485891.832899</v>
      </c>
      <c r="AV66">
        <f>SUM($AT$66+$AU$66)</f>
        <v>11424540510.832899</v>
      </c>
      <c r="AX66" s="57">
        <f t="shared" si="10"/>
        <v>0.14018802169665845</v>
      </c>
      <c r="AY66" s="57"/>
    </row>
    <row r="67" spans="2:51">
      <c r="B67" t="s">
        <v>192</v>
      </c>
      <c r="C67" t="s">
        <v>191</v>
      </c>
      <c r="D67">
        <v>96818778</v>
      </c>
      <c r="E67">
        <v>86749625.088</v>
      </c>
      <c r="F67">
        <f t="shared" ref="F67" si="11">SUM(D67+E67)</f>
        <v>183568403.088</v>
      </c>
      <c r="G67">
        <v>96818778</v>
      </c>
      <c r="H67">
        <v>86749625.088</v>
      </c>
      <c r="I67">
        <f t="shared" ref="I67" si="12">SUM(G67+H67)</f>
        <v>183568403.088</v>
      </c>
      <c r="J67">
        <v>96818778</v>
      </c>
      <c r="K67">
        <v>86749625.088</v>
      </c>
      <c r="L67">
        <f t="shared" ref="L67" si="13">SUM(J67+K67)</f>
        <v>183568403.088</v>
      </c>
      <c r="M67">
        <v>96818778</v>
      </c>
      <c r="N67">
        <v>86749625.088</v>
      </c>
      <c r="O67">
        <f t="shared" ref="O67" si="14">SUM(M67+N67)</f>
        <v>183568403.088</v>
      </c>
      <c r="P67">
        <v>96818778</v>
      </c>
      <c r="Q67">
        <v>86749625.088</v>
      </c>
      <c r="R67">
        <f t="shared" ref="R67" si="15">SUM(P67+Q67)</f>
        <v>183568403.088</v>
      </c>
      <c r="S67">
        <v>96818778</v>
      </c>
      <c r="T67">
        <v>86749625.088</v>
      </c>
      <c r="U67">
        <f t="shared" ref="U67" si="16">SUM(S67+T67)</f>
        <v>183568403.088</v>
      </c>
      <c r="V67">
        <v>96818778</v>
      </c>
      <c r="W67">
        <v>86749625.088</v>
      </c>
      <c r="X67">
        <f t="shared" ref="X67" si="17">SUM(V67+W67)</f>
        <v>183568403.088</v>
      </c>
      <c r="Y67">
        <v>96818778</v>
      </c>
      <c r="Z67">
        <v>86749625.088</v>
      </c>
      <c r="AA67">
        <f t="shared" ref="AA67" si="18">SUM(Y67+Z67)</f>
        <v>183568403.088</v>
      </c>
      <c r="AB67">
        <v>96818778</v>
      </c>
      <c r="AC67">
        <v>86749625.088</v>
      </c>
      <c r="AD67">
        <f t="shared" ref="AD67" si="19">SUM(AB67+AC67)</f>
        <v>183568403.088</v>
      </c>
      <c r="AE67">
        <v>96818778</v>
      </c>
      <c r="AF67">
        <v>86749625.088</v>
      </c>
      <c r="AG67">
        <f t="shared" ref="AG67" si="20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>
        <v>196562261.19199997</v>
      </c>
      <c r="AP67">
        <f>SUM($AN$67+$AO$67)</f>
        <v>329025541.19199997</v>
      </c>
      <c r="AQ67">
        <v>234458670</v>
      </c>
      <c r="AR67">
        <v>558574335.40799999</v>
      </c>
      <c r="AS67">
        <f>SUM($AQ$67+$AR$67)</f>
        <v>793033005.40799999</v>
      </c>
      <c r="AT67">
        <v>264189510</v>
      </c>
      <c r="AU67">
        <v>691304690.81700003</v>
      </c>
      <c r="AV67">
        <f>SUM($AT$67+$AU$67)</f>
        <v>955494200.81700003</v>
      </c>
      <c r="AX67" s="57">
        <f t="shared" si="10"/>
        <v>0.20486057238616051</v>
      </c>
      <c r="AY67" s="57"/>
    </row>
    <row r="68" spans="2:51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1">SUM($D$68+$E$68)</f>
        <v>4024264251.5047998</v>
      </c>
      <c r="J68">
        <v>484378408</v>
      </c>
      <c r="K68">
        <v>3539885843.5047998</v>
      </c>
      <c r="L68">
        <f t="shared" ref="L68" si="22">SUM($D$68+$E$68)</f>
        <v>4024264251.5047998</v>
      </c>
      <c r="M68">
        <v>484378408</v>
      </c>
      <c r="N68">
        <v>3539885843.5047998</v>
      </c>
      <c r="O68">
        <f t="shared" ref="O68" si="23">SUM($D$68+$E$68)</f>
        <v>4024264251.5047998</v>
      </c>
      <c r="P68">
        <v>484378408</v>
      </c>
      <c r="Q68">
        <v>3539885843.5047998</v>
      </c>
      <c r="R68">
        <f t="shared" ref="R68" si="24">SUM($D$68+$E$68)</f>
        <v>4024264251.5047998</v>
      </c>
      <c r="S68">
        <v>484378408</v>
      </c>
      <c r="T68">
        <v>3539885843.5047998</v>
      </c>
      <c r="U68">
        <f t="shared" ref="U68" si="25">SUM($D$68+$E$68)</f>
        <v>4024264251.5047998</v>
      </c>
      <c r="V68">
        <v>484378408</v>
      </c>
      <c r="W68">
        <v>3539885843.5047998</v>
      </c>
      <c r="X68">
        <f t="shared" ref="X68" si="26">SUM($D$68+$E$68)</f>
        <v>4024264251.5047998</v>
      </c>
      <c r="Y68">
        <v>484378408</v>
      </c>
      <c r="Z68">
        <v>3539885843.5047998</v>
      </c>
      <c r="AA68">
        <f t="shared" ref="AA68" si="27">SUM($D$68+$E$68)</f>
        <v>4024264251.5047998</v>
      </c>
      <c r="AB68">
        <v>484378408</v>
      </c>
      <c r="AC68">
        <v>3539885843.5047998</v>
      </c>
      <c r="AD68">
        <f t="shared" ref="AD68" si="28">SUM($D$68+$E$68)</f>
        <v>4024264251.5047998</v>
      </c>
      <c r="AE68">
        <v>484378408</v>
      </c>
      <c r="AF68">
        <v>3539885843.5047998</v>
      </c>
      <c r="AG68">
        <f t="shared" ref="AG68" si="29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>
        <v>5432529154.6442003</v>
      </c>
      <c r="AP68">
        <f>SUM($AN$68+$AO$68)</f>
        <v>6097091231.6442003</v>
      </c>
      <c r="AQ68">
        <v>888704227</v>
      </c>
      <c r="AR68">
        <v>8462152779.0713005</v>
      </c>
      <c r="AS68">
        <f>SUM($AQ$68+$AR$68)</f>
        <v>9350857006.0713005</v>
      </c>
      <c r="AT68">
        <v>910840477</v>
      </c>
      <c r="AU68">
        <v>8815660640.6921997</v>
      </c>
      <c r="AV68">
        <f>SUM($AT$68+$AU$68)</f>
        <v>9726501117.6921997</v>
      </c>
      <c r="AX68" s="57">
        <f t="shared" ref="AX68:AX131" si="30">AV68/AS68-1</f>
        <v>4.0172158699144145E-2</v>
      </c>
      <c r="AY68" s="57"/>
    </row>
    <row r="69" spans="2:51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31">SUM($D$69+$E$69)</f>
        <v>1415490080.4004002</v>
      </c>
      <c r="J69">
        <v>334742014</v>
      </c>
      <c r="K69">
        <v>1080748066.4004002</v>
      </c>
      <c r="L69">
        <f t="shared" ref="L69" si="32">SUM($D$69+$E$69)</f>
        <v>1415490080.4004002</v>
      </c>
      <c r="M69">
        <v>334742014</v>
      </c>
      <c r="N69">
        <v>1080748066.4004002</v>
      </c>
      <c r="O69">
        <f t="shared" ref="O69" si="33">SUM($D$69+$E$69)</f>
        <v>1415490080.4004002</v>
      </c>
      <c r="P69">
        <v>334742014</v>
      </c>
      <c r="Q69">
        <v>1080748066.4004002</v>
      </c>
      <c r="R69">
        <f t="shared" ref="R69" si="34">SUM($D$69+$E$69)</f>
        <v>1415490080.4004002</v>
      </c>
      <c r="S69">
        <v>334742014</v>
      </c>
      <c r="T69">
        <v>1080748066.4004002</v>
      </c>
      <c r="U69">
        <f t="shared" ref="U69" si="35">SUM($D$69+$E$69)</f>
        <v>1415490080.4004002</v>
      </c>
      <c r="V69">
        <v>334742014</v>
      </c>
      <c r="W69">
        <v>1080748066.4004002</v>
      </c>
      <c r="X69">
        <f t="shared" ref="X69" si="36">SUM($D$69+$E$69)</f>
        <v>1415490080.4004002</v>
      </c>
      <c r="Y69">
        <v>334742014</v>
      </c>
      <c r="Z69">
        <v>1080748066.4004002</v>
      </c>
      <c r="AA69">
        <f t="shared" ref="AA69" si="37">SUM($D$69+$E$69)</f>
        <v>1415490080.4004002</v>
      </c>
      <c r="AB69">
        <v>334742014</v>
      </c>
      <c r="AC69">
        <v>1080748066.4004002</v>
      </c>
      <c r="AD69">
        <f t="shared" ref="AD69" si="38">SUM($D$69+$E$69)</f>
        <v>1415490080.4004002</v>
      </c>
      <c r="AE69">
        <v>334742014</v>
      </c>
      <c r="AF69">
        <v>1080748066.4004002</v>
      </c>
      <c r="AG69">
        <f t="shared" ref="AG69" si="39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>
        <v>1593308542.8252001</v>
      </c>
      <c r="AP69">
        <f>SUM($AN$69+$AO$69)</f>
        <v>2000533544.8252001</v>
      </c>
      <c r="AQ69">
        <v>578207906</v>
      </c>
      <c r="AR69">
        <v>3160021847.8712001</v>
      </c>
      <c r="AS69">
        <f>SUM($AQ$69+$AR$69)</f>
        <v>3738229753.8712001</v>
      </c>
      <c r="AT69">
        <v>621647720</v>
      </c>
      <c r="AU69">
        <v>3534005123.428</v>
      </c>
      <c r="AV69">
        <f>SUM($AT$69+$AU$69)</f>
        <v>4155652843.428</v>
      </c>
      <c r="AX69" s="57">
        <f t="shared" si="30"/>
        <v>0.11166330510438227</v>
      </c>
      <c r="AY69" s="57"/>
    </row>
    <row r="70" spans="2:51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40">SUM($D$70+$E$70)</f>
        <v>966890348.51800001</v>
      </c>
      <c r="J70">
        <v>203513018</v>
      </c>
      <c r="K70">
        <v>763377330.51800001</v>
      </c>
      <c r="L70">
        <f t="shared" ref="L70" si="41">SUM($D$70+$E$70)</f>
        <v>966890348.51800001</v>
      </c>
      <c r="M70">
        <v>203513018</v>
      </c>
      <c r="N70">
        <v>763377330.51800001</v>
      </c>
      <c r="O70">
        <f t="shared" ref="O70" si="42">SUM($D$70+$E$70)</f>
        <v>966890348.51800001</v>
      </c>
      <c r="P70">
        <v>203513018</v>
      </c>
      <c r="Q70">
        <v>763377330.51800001</v>
      </c>
      <c r="R70">
        <f t="shared" ref="R70" si="43">SUM($D$70+$E$70)</f>
        <v>966890348.51800001</v>
      </c>
      <c r="S70">
        <v>203513018</v>
      </c>
      <c r="T70">
        <v>763377330.51800001</v>
      </c>
      <c r="U70">
        <f t="shared" ref="U70" si="44">SUM($D$70+$E$70)</f>
        <v>966890348.51800001</v>
      </c>
      <c r="V70">
        <v>203513018</v>
      </c>
      <c r="W70">
        <v>763377330.51800001</v>
      </c>
      <c r="X70">
        <f t="shared" ref="X70" si="45">SUM($D$70+$E$70)</f>
        <v>966890348.51800001</v>
      </c>
      <c r="Y70">
        <v>203513018</v>
      </c>
      <c r="Z70">
        <v>763377330.51800001</v>
      </c>
      <c r="AA70">
        <f t="shared" ref="AA70" si="46">SUM($D$70+$E$70)</f>
        <v>966890348.51800001</v>
      </c>
      <c r="AB70">
        <v>203513018</v>
      </c>
      <c r="AC70">
        <v>763377330.51800001</v>
      </c>
      <c r="AD70">
        <f t="shared" ref="AD70" si="47">SUM($D$70+$E$70)</f>
        <v>966890348.51800001</v>
      </c>
      <c r="AE70">
        <v>203513018</v>
      </c>
      <c r="AF70">
        <v>763377330.51800001</v>
      </c>
      <c r="AG70">
        <f t="shared" ref="AG70" si="48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>
        <v>1249790086.9122999</v>
      </c>
      <c r="AP70">
        <f>SUM($AN$70+$AO$70)</f>
        <v>1540756977.9122999</v>
      </c>
      <c r="AQ70">
        <v>395410251</v>
      </c>
      <c r="AR70">
        <v>2015722377.5477998</v>
      </c>
      <c r="AS70">
        <f>SUM($AQ$70+$AR$70)</f>
        <v>2411132628.5478001</v>
      </c>
      <c r="AT70">
        <v>402296261</v>
      </c>
      <c r="AU70">
        <v>2073113092.1852002</v>
      </c>
      <c r="AV70">
        <f>SUM($AT$70+$AU$70)</f>
        <v>2475409353.1852002</v>
      </c>
      <c r="AX70" s="57">
        <f t="shared" si="30"/>
        <v>2.665831148248099E-2</v>
      </c>
      <c r="AY70" s="57"/>
    </row>
    <row r="71" spans="2:51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9">SUM($D$71+$E$71)</f>
        <v>908067099.00320005</v>
      </c>
      <c r="J71">
        <v>201354184</v>
      </c>
      <c r="K71">
        <v>706712915.00320005</v>
      </c>
      <c r="L71">
        <f t="shared" ref="L71" si="50">SUM($D$71+$E$71)</f>
        <v>908067099.00320005</v>
      </c>
      <c r="M71">
        <v>201354184</v>
      </c>
      <c r="N71">
        <v>706712915.00320005</v>
      </c>
      <c r="O71">
        <f t="shared" ref="O71" si="51">SUM($D$71+$E$71)</f>
        <v>908067099.00320005</v>
      </c>
      <c r="P71">
        <v>201354184</v>
      </c>
      <c r="Q71">
        <v>706712915.00320005</v>
      </c>
      <c r="R71">
        <f t="shared" ref="R71" si="52">SUM($D$71+$E$71)</f>
        <v>908067099.00320005</v>
      </c>
      <c r="S71">
        <v>201354184</v>
      </c>
      <c r="T71">
        <v>706712915.00320005</v>
      </c>
      <c r="U71">
        <f t="shared" ref="U71" si="53">SUM($D$71+$E$71)</f>
        <v>908067099.00320005</v>
      </c>
      <c r="V71">
        <v>201354184</v>
      </c>
      <c r="W71">
        <v>706712915.00320005</v>
      </c>
      <c r="X71">
        <f t="shared" ref="X71" si="54">SUM($D$71+$E$71)</f>
        <v>908067099.00320005</v>
      </c>
      <c r="Y71">
        <v>201354184</v>
      </c>
      <c r="Z71">
        <v>706712915.00320005</v>
      </c>
      <c r="AA71">
        <f t="shared" ref="AA71" si="55">SUM($D$71+$E$71)</f>
        <v>908067099.00320005</v>
      </c>
      <c r="AB71">
        <v>201354184</v>
      </c>
      <c r="AC71">
        <v>706712915.00320005</v>
      </c>
      <c r="AD71">
        <f t="shared" ref="AD71" si="56">SUM($D$71+$E$71)</f>
        <v>908067099.00320005</v>
      </c>
      <c r="AE71">
        <v>201354184</v>
      </c>
      <c r="AF71">
        <v>706712915.00320005</v>
      </c>
      <c r="AG71">
        <f t="shared" ref="AG71" si="57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>
        <v>1185598134.9895999</v>
      </c>
      <c r="AP71">
        <f>SUM($AN$71+$AO$71)</f>
        <v>1457536786.9895999</v>
      </c>
      <c r="AQ71">
        <v>440464257</v>
      </c>
      <c r="AR71">
        <v>2620233772.0415998</v>
      </c>
      <c r="AS71">
        <f>SUM($AQ$71+$AR$71)</f>
        <v>3060698029.0415998</v>
      </c>
      <c r="AT71">
        <v>465798967</v>
      </c>
      <c r="AU71">
        <v>2881898208.829</v>
      </c>
      <c r="AV71">
        <f>SUM($AT$71+$AU$71)</f>
        <v>3347697175.829</v>
      </c>
      <c r="AX71" s="57">
        <f t="shared" si="30"/>
        <v>9.3769180776474226E-2</v>
      </c>
      <c r="AY71" s="57"/>
    </row>
    <row r="72" spans="2:51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8">SUM($D$72+$E$72)</f>
        <v>8845179322.0445995</v>
      </c>
      <c r="J72">
        <v>981118899</v>
      </c>
      <c r="K72">
        <v>7864060423.0445995</v>
      </c>
      <c r="L72">
        <f t="shared" ref="L72" si="59">SUM($D$72+$E$72)</f>
        <v>8845179322.0445995</v>
      </c>
      <c r="M72">
        <v>981118899</v>
      </c>
      <c r="N72">
        <v>7864060423.0445995</v>
      </c>
      <c r="O72">
        <f t="shared" ref="O72" si="60">SUM($D$72+$E$72)</f>
        <v>8845179322.0445995</v>
      </c>
      <c r="P72">
        <v>981118899</v>
      </c>
      <c r="Q72">
        <v>7864060423.0445995</v>
      </c>
      <c r="R72">
        <f t="shared" ref="R72" si="61">SUM($D$72+$E$72)</f>
        <v>8845179322.0445995</v>
      </c>
      <c r="S72">
        <v>981118899</v>
      </c>
      <c r="T72">
        <v>7864060423.0445995</v>
      </c>
      <c r="U72">
        <f t="shared" ref="U72" si="62">SUM($D$72+$E$72)</f>
        <v>8845179322.0445995</v>
      </c>
      <c r="V72">
        <v>981118899</v>
      </c>
      <c r="W72">
        <v>7864060423.0445995</v>
      </c>
      <c r="X72">
        <f t="shared" ref="X72" si="63">SUM($D$72+$E$72)</f>
        <v>8845179322.0445995</v>
      </c>
      <c r="Y72">
        <v>981118899</v>
      </c>
      <c r="Z72">
        <v>7864060423.0445995</v>
      </c>
      <c r="AA72">
        <f t="shared" ref="AA72" si="64">SUM($D$72+$E$72)</f>
        <v>8845179322.0445995</v>
      </c>
      <c r="AB72">
        <v>981118899</v>
      </c>
      <c r="AC72">
        <v>7864060423.0445995</v>
      </c>
      <c r="AD72">
        <f t="shared" ref="AD72" si="65">SUM($D$72+$E$72)</f>
        <v>8845179322.0445995</v>
      </c>
      <c r="AE72">
        <v>981118899</v>
      </c>
      <c r="AF72">
        <v>7864060423.0445995</v>
      </c>
      <c r="AG72">
        <f t="shared" ref="AG72" si="66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>
        <v>13738244877.975201</v>
      </c>
      <c r="AP72">
        <f>SUM($AN$72+$AO$72)</f>
        <v>15142959029.975201</v>
      </c>
      <c r="AQ72">
        <v>2239434469</v>
      </c>
      <c r="AR72">
        <v>30171228770.4963</v>
      </c>
      <c r="AS72">
        <f>SUM($AQ$72+$AR$72)</f>
        <v>32410663239.4963</v>
      </c>
      <c r="AT72">
        <v>2397424514</v>
      </c>
      <c r="AU72">
        <v>34025207672.493599</v>
      </c>
      <c r="AV72">
        <f>SUM($AT$72+$AU$72)</f>
        <v>36422632186.493599</v>
      </c>
      <c r="AX72" s="57">
        <f t="shared" si="30"/>
        <v>0.1237854627457371</v>
      </c>
      <c r="AY72" s="57"/>
    </row>
    <row r="73" spans="2:51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7">SUM($D$73+$E$73)</f>
        <v>70446542.49000001</v>
      </c>
      <c r="J73">
        <v>34634485</v>
      </c>
      <c r="K73">
        <v>35812057.490000002</v>
      </c>
      <c r="L73">
        <f t="shared" ref="L73" si="68">SUM($D$73+$E$73)</f>
        <v>70446542.49000001</v>
      </c>
      <c r="M73">
        <v>34634485</v>
      </c>
      <c r="N73">
        <v>35812057.490000002</v>
      </c>
      <c r="O73">
        <f t="shared" ref="O73" si="69">SUM($D$73+$E$73)</f>
        <v>70446542.49000001</v>
      </c>
      <c r="P73">
        <v>34634485</v>
      </c>
      <c r="Q73">
        <v>35812057.490000002</v>
      </c>
      <c r="R73">
        <f t="shared" ref="R73" si="70">SUM($D$73+$E$73)</f>
        <v>70446542.49000001</v>
      </c>
      <c r="S73">
        <v>34634485</v>
      </c>
      <c r="T73">
        <v>35812057.490000002</v>
      </c>
      <c r="U73">
        <f t="shared" ref="U73" si="71">SUM($D$73+$E$73)</f>
        <v>70446542.49000001</v>
      </c>
      <c r="V73">
        <v>34634485</v>
      </c>
      <c r="W73">
        <v>35812057.490000002</v>
      </c>
      <c r="X73">
        <f t="shared" ref="X73" si="72">SUM($D$73+$E$73)</f>
        <v>70446542.49000001</v>
      </c>
      <c r="Y73">
        <v>34634485</v>
      </c>
      <c r="Z73">
        <v>35812057.490000002</v>
      </c>
      <c r="AA73">
        <f t="shared" ref="AA73" si="73">SUM($D$73+$E$73)</f>
        <v>70446542.49000001</v>
      </c>
      <c r="AB73">
        <v>34634485</v>
      </c>
      <c r="AC73">
        <v>35812057.490000002</v>
      </c>
      <c r="AD73">
        <f t="shared" ref="AD73" si="74">SUM($D$73+$E$73)</f>
        <v>70446542.49000001</v>
      </c>
      <c r="AE73">
        <v>34634485</v>
      </c>
      <c r="AF73">
        <v>35812057.490000002</v>
      </c>
      <c r="AG73">
        <f t="shared" ref="AG73" si="75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>
        <v>52121256.357000001</v>
      </c>
      <c r="AP73">
        <f>SUM($AN$73+$AO$73)</f>
        <v>94966514.356999993</v>
      </c>
      <c r="AQ73">
        <v>39400052</v>
      </c>
      <c r="AR73">
        <v>52232648.936399996</v>
      </c>
      <c r="AS73">
        <f>SUM($AQ$73+$AR$73)</f>
        <v>91632700.936399996</v>
      </c>
      <c r="AT73">
        <v>43966619</v>
      </c>
      <c r="AU73">
        <v>60823420.724600002</v>
      </c>
      <c r="AV73">
        <f>SUM($AT$73+$AU$73)</f>
        <v>104790039.7246</v>
      </c>
      <c r="AX73" s="57">
        <f t="shared" si="30"/>
        <v>0.14358780930545945</v>
      </c>
      <c r="AY73" s="57"/>
    </row>
    <row r="74" spans="2:51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6">SUM($D$74+$E$74)</f>
        <v>304520835.204</v>
      </c>
      <c r="J74">
        <v>116965944</v>
      </c>
      <c r="K74">
        <v>187554891.204</v>
      </c>
      <c r="L74">
        <f t="shared" ref="L74" si="77">SUM($D$74+$E$74)</f>
        <v>304520835.204</v>
      </c>
      <c r="M74">
        <v>116965944</v>
      </c>
      <c r="N74">
        <v>187554891.204</v>
      </c>
      <c r="O74">
        <f t="shared" ref="O74" si="78">SUM($D$74+$E$74)</f>
        <v>304520835.204</v>
      </c>
      <c r="P74">
        <v>116965944</v>
      </c>
      <c r="Q74">
        <v>187554891.204</v>
      </c>
      <c r="R74">
        <f t="shared" ref="R74" si="79">SUM($D$74+$E$74)</f>
        <v>304520835.204</v>
      </c>
      <c r="S74">
        <v>116965944</v>
      </c>
      <c r="T74">
        <v>187554891.204</v>
      </c>
      <c r="U74">
        <f t="shared" ref="U74" si="80">SUM($D$74+$E$74)</f>
        <v>304520835.204</v>
      </c>
      <c r="V74">
        <v>116965944</v>
      </c>
      <c r="W74">
        <v>187554891.204</v>
      </c>
      <c r="X74">
        <f t="shared" ref="X74" si="81">SUM($D$74+$E$74)</f>
        <v>304520835.204</v>
      </c>
      <c r="Y74">
        <v>116965944</v>
      </c>
      <c r="Z74">
        <v>187554891.204</v>
      </c>
      <c r="AA74">
        <f t="shared" ref="AA74" si="82">SUM($D$74+$E$74)</f>
        <v>304520835.204</v>
      </c>
      <c r="AB74">
        <v>116965944</v>
      </c>
      <c r="AC74">
        <v>187554891.204</v>
      </c>
      <c r="AD74">
        <f t="shared" ref="AD74" si="83">SUM($D$74+$E$74)</f>
        <v>304520835.204</v>
      </c>
      <c r="AE74">
        <v>116965944</v>
      </c>
      <c r="AF74">
        <v>187554891.204</v>
      </c>
      <c r="AG74">
        <f t="shared" ref="AG74" si="84">SUM($D$74+$E$74)</f>
        <v>304520835.204</v>
      </c>
      <c r="AH74">
        <v>116965944</v>
      </c>
      <c r="AI74">
        <v>187554891.204</v>
      </c>
      <c r="AJ74">
        <f t="shared" ref="AJ74" si="85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>
        <v>316549786.54000002</v>
      </c>
      <c r="AP74">
        <f>SUM($AN$74+$AO$74)</f>
        <v>464470247.54000002</v>
      </c>
      <c r="AQ74">
        <v>171967026</v>
      </c>
      <c r="AR74">
        <v>403056315.5388</v>
      </c>
      <c r="AS74">
        <f>SUM($AQ$74+$AR$74)</f>
        <v>575023341.5388</v>
      </c>
      <c r="AT74">
        <v>176783761</v>
      </c>
      <c r="AU74">
        <v>413249719.71359998</v>
      </c>
      <c r="AV74">
        <f>SUM($AT$74+$AU$74)</f>
        <v>590033480.71359992</v>
      </c>
      <c r="AX74" s="57">
        <f t="shared" si="30"/>
        <v>2.6103530223019922E-2</v>
      </c>
      <c r="AY74" s="57"/>
    </row>
    <row r="75" spans="2:51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6">SUM($D$75+$E$75)</f>
        <v>387076236.1239</v>
      </c>
      <c r="J75">
        <v>125376943</v>
      </c>
      <c r="K75">
        <v>261699293.1239</v>
      </c>
      <c r="L75">
        <f t="shared" ref="L75" si="87">SUM($D$75+$E$75)</f>
        <v>387076236.1239</v>
      </c>
      <c r="M75">
        <v>125376943</v>
      </c>
      <c r="N75">
        <v>261699293.1239</v>
      </c>
      <c r="O75">
        <f t="shared" ref="O75" si="88">SUM($D$75+$E$75)</f>
        <v>387076236.1239</v>
      </c>
      <c r="P75">
        <v>125376943</v>
      </c>
      <c r="Q75">
        <v>261699293.1239</v>
      </c>
      <c r="R75">
        <f t="shared" ref="R75" si="89">SUM($D$75+$E$75)</f>
        <v>387076236.1239</v>
      </c>
      <c r="S75">
        <v>125376943</v>
      </c>
      <c r="T75">
        <v>261699293.1239</v>
      </c>
      <c r="U75">
        <f t="shared" ref="U75" si="90">SUM($D$75+$E$75)</f>
        <v>387076236.1239</v>
      </c>
      <c r="V75">
        <v>125376943</v>
      </c>
      <c r="W75">
        <v>261699293.1239</v>
      </c>
      <c r="X75">
        <f t="shared" ref="X75" si="91">SUM($D$75+$E$75)</f>
        <v>387076236.1239</v>
      </c>
      <c r="Y75">
        <v>125376943</v>
      </c>
      <c r="Z75">
        <v>261699293.1239</v>
      </c>
      <c r="AA75">
        <f t="shared" ref="AA75" si="92">SUM($D$75+$E$75)</f>
        <v>387076236.1239</v>
      </c>
      <c r="AB75">
        <v>125376943</v>
      </c>
      <c r="AC75">
        <v>261699293.1239</v>
      </c>
      <c r="AD75">
        <f t="shared" ref="AD75" si="93">SUM($D$75+$E$75)</f>
        <v>387076236.1239</v>
      </c>
      <c r="AE75">
        <v>125376943</v>
      </c>
      <c r="AF75">
        <v>261699293.1239</v>
      </c>
      <c r="AG75">
        <f t="shared" ref="AG75" si="94">SUM($D$75+$E$75)</f>
        <v>387076236.1239</v>
      </c>
      <c r="AH75">
        <v>125376943</v>
      </c>
      <c r="AI75">
        <v>261699293.1239</v>
      </c>
      <c r="AJ75">
        <f t="shared" ref="AJ75" si="95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>
        <v>444681579.199</v>
      </c>
      <c r="AP75">
        <f>SUM($AN$75+$AO$75)</f>
        <v>601248574.199</v>
      </c>
      <c r="AQ75">
        <v>280432543</v>
      </c>
      <c r="AR75">
        <v>1005995661.5039001</v>
      </c>
      <c r="AS75">
        <f>SUM($AQ$75+$AR$75)</f>
        <v>1286428204.5039001</v>
      </c>
      <c r="AT75">
        <v>288137953</v>
      </c>
      <c r="AU75">
        <v>1066081612.3047</v>
      </c>
      <c r="AV75">
        <f>SUM($AT$75+$AU$75)</f>
        <v>1354219565.3046999</v>
      </c>
      <c r="AX75" s="57">
        <f t="shared" si="30"/>
        <v>5.2697352688207744E-2</v>
      </c>
      <c r="AY75" s="57"/>
    </row>
    <row r="76" spans="2:51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6">SUM($D$76+$E$76)</f>
        <v>1799840364.03</v>
      </c>
      <c r="J76">
        <v>311930739</v>
      </c>
      <c r="K76">
        <v>1487909625.03</v>
      </c>
      <c r="L76">
        <f t="shared" ref="L76" si="97">SUM($D$76+$E$76)</f>
        <v>1799840364.03</v>
      </c>
      <c r="M76">
        <v>311930739</v>
      </c>
      <c r="N76">
        <v>1487909625.03</v>
      </c>
      <c r="O76">
        <f t="shared" ref="O76" si="98">SUM($D$76+$E$76)</f>
        <v>1799840364.03</v>
      </c>
      <c r="P76">
        <v>311930739</v>
      </c>
      <c r="Q76">
        <v>1487909625.03</v>
      </c>
      <c r="R76">
        <f t="shared" ref="R76" si="99">SUM($D$76+$E$76)</f>
        <v>1799840364.03</v>
      </c>
      <c r="S76">
        <v>311930739</v>
      </c>
      <c r="T76">
        <v>1487909625.03</v>
      </c>
      <c r="U76">
        <f t="shared" ref="U76" si="100">SUM($D$76+$E$76)</f>
        <v>1799840364.03</v>
      </c>
      <c r="V76">
        <v>311930739</v>
      </c>
      <c r="W76">
        <v>1487909625.03</v>
      </c>
      <c r="X76">
        <f t="shared" ref="X76" si="101">SUM($D$76+$E$76)</f>
        <v>1799840364.03</v>
      </c>
      <c r="Y76">
        <v>311930739</v>
      </c>
      <c r="Z76">
        <v>1487909625.03</v>
      </c>
      <c r="AA76">
        <f t="shared" ref="AA76" si="102">SUM($D$76+$E$76)</f>
        <v>1799840364.03</v>
      </c>
      <c r="AB76">
        <v>311930739</v>
      </c>
      <c r="AC76">
        <v>1487909625.03</v>
      </c>
      <c r="AD76">
        <f t="shared" ref="AD76" si="103">SUM($D$76+$E$76)</f>
        <v>1799840364.03</v>
      </c>
      <c r="AE76">
        <v>311930739</v>
      </c>
      <c r="AF76">
        <v>1487909625.03</v>
      </c>
      <c r="AG76">
        <f t="shared" ref="AG76" si="104">SUM($D$76+$E$76)</f>
        <v>1799840364.03</v>
      </c>
      <c r="AH76">
        <v>311930739</v>
      </c>
      <c r="AI76">
        <v>1487909625.03</v>
      </c>
      <c r="AJ76">
        <f t="shared" ref="AJ76" si="105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>
        <v>2561245209.4481001</v>
      </c>
      <c r="AP76">
        <f>SUM($AN$76+$AO$76)</f>
        <v>2979742490.4481001</v>
      </c>
      <c r="AQ76">
        <v>516848404</v>
      </c>
      <c r="AR76">
        <v>3609824308.0572</v>
      </c>
      <c r="AS76">
        <f>SUM($AQ$76+$AR$76)</f>
        <v>4126672712.0572</v>
      </c>
      <c r="AT76">
        <v>536440809</v>
      </c>
      <c r="AU76">
        <v>3989134787.9667001</v>
      </c>
      <c r="AV76">
        <f>SUM($AT$76+$AU$76)</f>
        <v>4525575596.9666996</v>
      </c>
      <c r="AX76" s="57">
        <f t="shared" si="30"/>
        <v>9.6664531631984296E-2</v>
      </c>
      <c r="AY76" s="57"/>
    </row>
    <row r="77" spans="2:51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6">SUM($D$77+$E$77)</f>
        <v>231151937.51429999</v>
      </c>
      <c r="J77">
        <v>75399399</v>
      </c>
      <c r="K77">
        <v>155752538.51429999</v>
      </c>
      <c r="L77">
        <f t="shared" ref="L77" si="107">SUM($D$77+$E$77)</f>
        <v>231151937.51429999</v>
      </c>
      <c r="M77">
        <v>75399399</v>
      </c>
      <c r="N77">
        <v>155752538.51429999</v>
      </c>
      <c r="O77">
        <f t="shared" ref="O77" si="108">SUM($D$77+$E$77)</f>
        <v>231151937.51429999</v>
      </c>
      <c r="P77">
        <v>75399399</v>
      </c>
      <c r="Q77">
        <v>155752538.51429999</v>
      </c>
      <c r="R77">
        <f t="shared" ref="R77" si="109">SUM($D$77+$E$77)</f>
        <v>231151937.51429999</v>
      </c>
      <c r="S77">
        <v>75399399</v>
      </c>
      <c r="T77">
        <v>155752538.51429999</v>
      </c>
      <c r="U77">
        <f t="shared" ref="U77" si="110">SUM($D$77+$E$77)</f>
        <v>231151937.51429999</v>
      </c>
      <c r="V77">
        <v>75399399</v>
      </c>
      <c r="W77">
        <v>155752538.51429999</v>
      </c>
      <c r="X77">
        <f t="shared" ref="X77" si="111">SUM($D$77+$E$77)</f>
        <v>231151937.51429999</v>
      </c>
      <c r="Y77">
        <v>75399399</v>
      </c>
      <c r="Z77">
        <v>155752538.51429999</v>
      </c>
      <c r="AA77">
        <f t="shared" ref="AA77" si="112">SUM($D$77+$E$77)</f>
        <v>231151937.51429999</v>
      </c>
      <c r="AB77">
        <v>75399399</v>
      </c>
      <c r="AC77">
        <v>155752538.51429999</v>
      </c>
      <c r="AD77">
        <f t="shared" ref="AD77" si="113">SUM($D$77+$E$77)</f>
        <v>231151937.51429999</v>
      </c>
      <c r="AE77">
        <v>75399399</v>
      </c>
      <c r="AF77">
        <v>155752538.51429999</v>
      </c>
      <c r="AG77">
        <f t="shared" ref="AG77" si="114">SUM($D$77+$E$77)</f>
        <v>231151937.51429999</v>
      </c>
      <c r="AH77">
        <v>75399399</v>
      </c>
      <c r="AI77">
        <v>155752538.51429999</v>
      </c>
      <c r="AJ77">
        <f t="shared" ref="AJ77" si="115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>
        <v>560892773.24819994</v>
      </c>
      <c r="AP77">
        <f>SUM($AN$77+$AO$77)</f>
        <v>732011442.24819994</v>
      </c>
      <c r="AQ77">
        <v>340968032</v>
      </c>
      <c r="AR77">
        <v>1460263790.6464</v>
      </c>
      <c r="AS77">
        <f>SUM($AQ$77+$AR$77)</f>
        <v>1801231822.6464</v>
      </c>
      <c r="AT77">
        <v>377186057</v>
      </c>
      <c r="AU77">
        <v>1694470642.4668</v>
      </c>
      <c r="AV77">
        <f>SUM($AT$77+$AU$77)</f>
        <v>2071656699.4668</v>
      </c>
      <c r="AX77" s="57">
        <f t="shared" si="30"/>
        <v>0.15013329956778532</v>
      </c>
      <c r="AY77" s="57"/>
    </row>
    <row r="78" spans="2:51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6">SUM($D$78+$E$78)</f>
        <v>506510558.98879999</v>
      </c>
      <c r="J78">
        <v>203450578</v>
      </c>
      <c r="K78">
        <v>303059980.98879999</v>
      </c>
      <c r="L78">
        <f t="shared" ref="L78" si="117">SUM($D$78+$E$78)</f>
        <v>506510558.98879999</v>
      </c>
      <c r="M78">
        <v>203450578</v>
      </c>
      <c r="N78">
        <v>303059980.98879999</v>
      </c>
      <c r="O78">
        <f t="shared" ref="O78" si="118">SUM($D$78+$E$78)</f>
        <v>506510558.98879999</v>
      </c>
      <c r="P78">
        <v>203450578</v>
      </c>
      <c r="Q78">
        <v>303059980.98879999</v>
      </c>
      <c r="R78">
        <f t="shared" ref="R78" si="119">SUM($D$78+$E$78)</f>
        <v>506510558.98879999</v>
      </c>
      <c r="S78">
        <v>203450578</v>
      </c>
      <c r="T78">
        <v>303059980.98879999</v>
      </c>
      <c r="U78">
        <f t="shared" ref="U78" si="120">SUM($D$78+$E$78)</f>
        <v>506510558.98879999</v>
      </c>
      <c r="V78">
        <v>203450578</v>
      </c>
      <c r="W78">
        <v>303059980.98879999</v>
      </c>
      <c r="X78">
        <f t="shared" ref="X78" si="121">SUM($D$78+$E$78)</f>
        <v>506510558.98879999</v>
      </c>
      <c r="Y78">
        <v>203450578</v>
      </c>
      <c r="Z78">
        <v>303059980.98879999</v>
      </c>
      <c r="AA78">
        <f t="shared" ref="AA78" si="122">SUM($D$78+$E$78)</f>
        <v>506510558.98879999</v>
      </c>
      <c r="AB78">
        <v>203450578</v>
      </c>
      <c r="AC78">
        <v>303059980.98879999</v>
      </c>
      <c r="AD78">
        <f t="shared" ref="AD78" si="123">SUM($D$78+$E$78)</f>
        <v>506510558.98879999</v>
      </c>
      <c r="AE78">
        <v>203450578</v>
      </c>
      <c r="AF78">
        <v>303059980.98879999</v>
      </c>
      <c r="AG78">
        <f t="shared" ref="AG78" si="124">SUM($D$78+$E$78)</f>
        <v>506510558.98879999</v>
      </c>
      <c r="AH78">
        <v>203450578</v>
      </c>
      <c r="AI78">
        <v>303059980.98879999</v>
      </c>
      <c r="AJ78">
        <f t="shared" ref="AJ78" si="125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>
        <v>503521548.23230004</v>
      </c>
      <c r="AP78">
        <f>SUM($AN$78+$AO$78)</f>
        <v>771195541.23230004</v>
      </c>
      <c r="AQ78">
        <v>435113237</v>
      </c>
      <c r="AR78">
        <v>1461893453.6726</v>
      </c>
      <c r="AS78">
        <f>SUM($AQ$78+$AR$78)</f>
        <v>1897006690.6726</v>
      </c>
      <c r="AT78">
        <v>463101582</v>
      </c>
      <c r="AU78">
        <v>1646418744.3263998</v>
      </c>
      <c r="AV78">
        <f>SUM($AT$78+$AU$78)</f>
        <v>2109520326.3263998</v>
      </c>
      <c r="AX78" s="57">
        <f t="shared" si="30"/>
        <v>0.11202577022986215</v>
      </c>
      <c r="AY78" s="57"/>
    </row>
    <row r="79" spans="2:51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6">SUM($D$79+$E$79)</f>
        <v>90555187.681800008</v>
      </c>
      <c r="J79">
        <v>49327371</v>
      </c>
      <c r="K79">
        <v>41227816.6818</v>
      </c>
      <c r="L79">
        <f t="shared" ref="L79" si="127">SUM($D$79+$E$79)</f>
        <v>90555187.681800008</v>
      </c>
      <c r="M79">
        <v>49327371</v>
      </c>
      <c r="N79">
        <v>41227816.6818</v>
      </c>
      <c r="O79">
        <f t="shared" ref="O79" si="128">SUM($D$79+$E$79)</f>
        <v>90555187.681800008</v>
      </c>
      <c r="P79">
        <v>49327371</v>
      </c>
      <c r="Q79">
        <v>41227816.6818</v>
      </c>
      <c r="R79">
        <f t="shared" ref="R79" si="129">SUM($D$79+$E$79)</f>
        <v>90555187.681800008</v>
      </c>
      <c r="S79">
        <v>49327371</v>
      </c>
      <c r="T79">
        <v>41227816.6818</v>
      </c>
      <c r="U79">
        <f t="shared" ref="U79" si="130">SUM($D$79+$E$79)</f>
        <v>90555187.681800008</v>
      </c>
      <c r="V79">
        <v>49327371</v>
      </c>
      <c r="W79">
        <v>41227816.6818</v>
      </c>
      <c r="X79">
        <f t="shared" ref="X79" si="131">SUM($D$79+$E$79)</f>
        <v>90555187.681800008</v>
      </c>
      <c r="Y79">
        <v>49327371</v>
      </c>
      <c r="Z79">
        <v>41227816.6818</v>
      </c>
      <c r="AA79">
        <f t="shared" ref="AA79" si="132">SUM($D$79+$E$79)</f>
        <v>90555187.681800008</v>
      </c>
      <c r="AB79">
        <v>49327371</v>
      </c>
      <c r="AC79">
        <v>41227816.6818</v>
      </c>
      <c r="AD79">
        <f t="shared" ref="AD79" si="133">SUM($D$79+$E$79)</f>
        <v>90555187.681800008</v>
      </c>
      <c r="AE79">
        <v>49327371</v>
      </c>
      <c r="AF79">
        <v>41227816.6818</v>
      </c>
      <c r="AG79">
        <f t="shared" ref="AG79" si="134">SUM($D$79+$E$79)</f>
        <v>90555187.681800008</v>
      </c>
      <c r="AH79">
        <v>49327371</v>
      </c>
      <c r="AI79">
        <v>41227816.6818</v>
      </c>
      <c r="AJ79">
        <f t="shared" ref="AJ79" si="135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>
        <v>64975375.749600001</v>
      </c>
      <c r="AP79">
        <f>SUM($AN$79+$AO$79)</f>
        <v>129898812.74959999</v>
      </c>
      <c r="AQ79">
        <v>106142954</v>
      </c>
      <c r="AR79">
        <v>154671512.5688</v>
      </c>
      <c r="AS79">
        <f>SUM($AQ$79+$AR$79)</f>
        <v>260814466.5688</v>
      </c>
      <c r="AT79">
        <v>107481809</v>
      </c>
      <c r="AU79">
        <v>163254119.69009998</v>
      </c>
      <c r="AV79">
        <f>SUM($AT$79+$AU$79)</f>
        <v>270735928.69009995</v>
      </c>
      <c r="AX79" s="57">
        <f t="shared" si="30"/>
        <v>3.8040306014554437E-2</v>
      </c>
      <c r="AY79" s="57"/>
    </row>
    <row r="80" spans="2:51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6">SUM($D$80+$E$80)</f>
        <v>4351176645.0444002</v>
      </c>
      <c r="J80">
        <v>721516374</v>
      </c>
      <c r="K80">
        <v>3629660271.0444002</v>
      </c>
      <c r="L80">
        <f t="shared" ref="L80" si="137">SUM($D$80+$E$80)</f>
        <v>4351176645.0444002</v>
      </c>
      <c r="M80">
        <v>721516374</v>
      </c>
      <c r="N80">
        <v>3629660271.0444002</v>
      </c>
      <c r="O80">
        <f t="shared" ref="O80" si="138">SUM($D$80+$E$80)</f>
        <v>4351176645.0444002</v>
      </c>
      <c r="P80">
        <v>721516374</v>
      </c>
      <c r="Q80">
        <v>3629660271.0444002</v>
      </c>
      <c r="R80">
        <f t="shared" ref="R80" si="139">SUM($D$80+$E$80)</f>
        <v>4351176645.0444002</v>
      </c>
      <c r="S80">
        <v>721516374</v>
      </c>
      <c r="T80">
        <v>3629660271.0444002</v>
      </c>
      <c r="U80">
        <f t="shared" ref="U80" si="140">SUM($D$80+$E$80)</f>
        <v>4351176645.0444002</v>
      </c>
      <c r="V80">
        <v>721516374</v>
      </c>
      <c r="W80">
        <v>3629660271.0444002</v>
      </c>
      <c r="X80">
        <f t="shared" ref="X80" si="141">SUM($D$80+$E$80)</f>
        <v>4351176645.0444002</v>
      </c>
      <c r="Y80">
        <v>721516374</v>
      </c>
      <c r="Z80">
        <v>3629660271.0444002</v>
      </c>
      <c r="AA80">
        <f t="shared" ref="AA80" si="142">SUM($D$80+$E$80)</f>
        <v>4351176645.0444002</v>
      </c>
      <c r="AB80">
        <v>721516374</v>
      </c>
      <c r="AC80">
        <v>3629660271.0444002</v>
      </c>
      <c r="AD80">
        <f t="shared" ref="AD80" si="143">SUM($D$80+$E$80)</f>
        <v>4351176645.0444002</v>
      </c>
      <c r="AE80">
        <v>721516374</v>
      </c>
      <c r="AF80">
        <v>3629660271.0444002</v>
      </c>
      <c r="AG80">
        <f t="shared" ref="AG80" si="144">SUM($D$80+$E$80)</f>
        <v>4351176645.0444002</v>
      </c>
      <c r="AH80">
        <v>721516374</v>
      </c>
      <c r="AI80">
        <v>3629660271.0444002</v>
      </c>
      <c r="AJ80">
        <f t="shared" ref="AJ80" si="145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>
        <v>6989684744.0787992</v>
      </c>
      <c r="AP80">
        <f>SUM($AN$80+$AO$80)</f>
        <v>8035387258.0787992</v>
      </c>
      <c r="AQ80">
        <v>1395161546</v>
      </c>
      <c r="AR80">
        <v>12440655505.682001</v>
      </c>
      <c r="AS80">
        <f>SUM($AQ$80+$AR$80)</f>
        <v>13835817051.682001</v>
      </c>
      <c r="AT80">
        <v>1480964581</v>
      </c>
      <c r="AU80">
        <v>13894113506.025799</v>
      </c>
      <c r="AV80">
        <f>SUM($AT$80+$AU$80)</f>
        <v>15375078087.025799</v>
      </c>
      <c r="AX80" s="57">
        <f t="shared" si="30"/>
        <v>0.11125190724870659</v>
      </c>
      <c r="AY80" s="57"/>
    </row>
    <row r="81" spans="2:51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6">SUM($D$81+$E$81)</f>
        <v>7931431421.2180996</v>
      </c>
      <c r="J81">
        <v>813638701</v>
      </c>
      <c r="K81">
        <v>7117792720.2180996</v>
      </c>
      <c r="L81">
        <f t="shared" ref="L81" si="147">SUM($D$81+$E$81)</f>
        <v>7931431421.2180996</v>
      </c>
      <c r="M81">
        <v>813638701</v>
      </c>
      <c r="N81">
        <v>7117792720.2180996</v>
      </c>
      <c r="O81">
        <f t="shared" ref="O81" si="148">SUM($D$81+$E$81)</f>
        <v>7931431421.2180996</v>
      </c>
      <c r="P81">
        <v>813638701</v>
      </c>
      <c r="Q81">
        <v>7117792720.2180996</v>
      </c>
      <c r="R81">
        <f t="shared" ref="R81" si="149">SUM($D$81+$E$81)</f>
        <v>7931431421.2180996</v>
      </c>
      <c r="S81">
        <v>813638701</v>
      </c>
      <c r="T81">
        <v>7117792720.2180996</v>
      </c>
      <c r="U81">
        <f t="shared" ref="U81" si="150">SUM($D$81+$E$81)</f>
        <v>7931431421.2180996</v>
      </c>
      <c r="V81">
        <v>813638701</v>
      </c>
      <c r="W81">
        <v>7117792720.2180996</v>
      </c>
      <c r="X81">
        <f t="shared" ref="X81" si="151">SUM($D$81+$E$81)</f>
        <v>7931431421.2180996</v>
      </c>
      <c r="Y81">
        <v>813638701</v>
      </c>
      <c r="Z81">
        <v>7117792720.2180996</v>
      </c>
      <c r="AA81">
        <f t="shared" ref="AA81" si="152">SUM($D$81+$E$81)</f>
        <v>7931431421.2180996</v>
      </c>
      <c r="AB81">
        <v>813638701</v>
      </c>
      <c r="AC81">
        <v>7117792720.2180996</v>
      </c>
      <c r="AD81">
        <f t="shared" ref="AD81" si="153">SUM($D$81+$E$81)</f>
        <v>7931431421.2180996</v>
      </c>
      <c r="AE81">
        <v>813638701</v>
      </c>
      <c r="AF81">
        <v>7117792720.2180996</v>
      </c>
      <c r="AG81">
        <f t="shared" ref="AG81" si="154">SUM($D$81+$E$81)</f>
        <v>7931431421.2180996</v>
      </c>
      <c r="AH81">
        <v>813638701</v>
      </c>
      <c r="AI81">
        <v>7117792720.2180996</v>
      </c>
      <c r="AJ81">
        <f t="shared" ref="AJ81" si="155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>
        <v>10624347315.577801</v>
      </c>
      <c r="AP81">
        <f>SUM($AN$81+$AO$81)</f>
        <v>11715165126.577801</v>
      </c>
      <c r="AQ81">
        <v>1354041334</v>
      </c>
      <c r="AR81">
        <v>14201727127.525599</v>
      </c>
      <c r="AS81">
        <f>SUM($AQ$81+$AR$81)</f>
        <v>15555768461.525599</v>
      </c>
      <c r="AT81">
        <v>1354041334</v>
      </c>
      <c r="AU81">
        <v>14201727127.525599</v>
      </c>
      <c r="AV81">
        <f>SUM($AT$81+$AU$81)</f>
        <v>15555768461.525599</v>
      </c>
      <c r="AX81" s="57">
        <f t="shared" si="30"/>
        <v>0</v>
      </c>
      <c r="AY81" s="57"/>
    </row>
    <row r="82" spans="2:51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6">SUM($D$82+$E$82)</f>
        <v>53058713.997500002</v>
      </c>
      <c r="J82">
        <v>25813045</v>
      </c>
      <c r="K82">
        <v>27245668.997499999</v>
      </c>
      <c r="L82">
        <f t="shared" ref="L82" si="157">SUM($D$82+$E$82)</f>
        <v>53058713.997500002</v>
      </c>
      <c r="M82">
        <v>25813045</v>
      </c>
      <c r="N82">
        <v>27245668.997499999</v>
      </c>
      <c r="O82">
        <f t="shared" ref="O82" si="158">SUM($D$82+$E$82)</f>
        <v>53058713.997500002</v>
      </c>
      <c r="P82">
        <v>25813045</v>
      </c>
      <c r="Q82">
        <v>27245668.997499999</v>
      </c>
      <c r="R82">
        <f t="shared" ref="R82" si="159">SUM($D$82+$E$82)</f>
        <v>53058713.997500002</v>
      </c>
      <c r="S82">
        <v>25813045</v>
      </c>
      <c r="T82">
        <v>27245668.997499999</v>
      </c>
      <c r="U82">
        <f t="shared" ref="U82" si="160">SUM($D$82+$E$82)</f>
        <v>53058713.997500002</v>
      </c>
      <c r="V82">
        <v>25813045</v>
      </c>
      <c r="W82">
        <v>27245668.997499999</v>
      </c>
      <c r="X82">
        <f t="shared" ref="X82" si="161">SUM($D$82+$E$82)</f>
        <v>53058713.997500002</v>
      </c>
      <c r="Y82">
        <v>25813045</v>
      </c>
      <c r="Z82">
        <v>27245668.997499999</v>
      </c>
      <c r="AA82">
        <f t="shared" ref="AA82" si="162">SUM($D$82+$E$82)</f>
        <v>53058713.997500002</v>
      </c>
      <c r="AB82">
        <v>25813045</v>
      </c>
      <c r="AC82">
        <v>27245668.997499999</v>
      </c>
      <c r="AD82">
        <f t="shared" ref="AD82" si="163">SUM($D$82+$E$82)</f>
        <v>53058713.997500002</v>
      </c>
      <c r="AE82">
        <v>25813045</v>
      </c>
      <c r="AF82">
        <v>27245668.997499999</v>
      </c>
      <c r="AG82">
        <f t="shared" ref="AG82" si="164">SUM($D$82+$E$82)</f>
        <v>53058713.997500002</v>
      </c>
      <c r="AH82">
        <v>25813045</v>
      </c>
      <c r="AI82">
        <v>27245668.997499999</v>
      </c>
      <c r="AJ82">
        <f t="shared" ref="AJ82" si="165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>
        <v>190611082.4359</v>
      </c>
      <c r="AP82">
        <f>SUM($AN$82+$AO$82)</f>
        <v>297437895.43589997</v>
      </c>
      <c r="AQ82">
        <v>215991431</v>
      </c>
      <c r="AR82">
        <v>610607775.43699992</v>
      </c>
      <c r="AS82">
        <f>SUM($AQ$82+$AR$82)</f>
        <v>826599206.43699992</v>
      </c>
      <c r="AT82">
        <v>235343371</v>
      </c>
      <c r="AU82">
        <v>699840582.3427</v>
      </c>
      <c r="AV82">
        <f>SUM($AT$82+$AU$82)</f>
        <v>935183953.3427</v>
      </c>
      <c r="AX82" s="57">
        <f t="shared" si="30"/>
        <v>0.13136323633039448</v>
      </c>
      <c r="AY82" s="57"/>
    </row>
    <row r="83" spans="2:51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6">SUM($D$83+$E$83)</f>
        <v>731640332.96249998</v>
      </c>
      <c r="J83">
        <v>246967201</v>
      </c>
      <c r="K83">
        <v>484673131.96249998</v>
      </c>
      <c r="L83">
        <f t="shared" ref="L83" si="167">SUM($D$83+$E$83)</f>
        <v>731640332.96249998</v>
      </c>
      <c r="M83">
        <v>246967201</v>
      </c>
      <c r="N83">
        <v>484673131.96249998</v>
      </c>
      <c r="O83">
        <f t="shared" ref="O83" si="168">SUM($D$83+$E$83)</f>
        <v>731640332.96249998</v>
      </c>
      <c r="P83">
        <v>246967201</v>
      </c>
      <c r="Q83">
        <v>484673131.96249998</v>
      </c>
      <c r="R83">
        <f t="shared" ref="R83" si="169">SUM($D$83+$E$83)</f>
        <v>731640332.96249998</v>
      </c>
      <c r="S83">
        <v>246967201</v>
      </c>
      <c r="T83">
        <v>484673131.96249998</v>
      </c>
      <c r="U83">
        <f t="shared" ref="U83" si="170">SUM($D$83+$E$83)</f>
        <v>731640332.96249998</v>
      </c>
      <c r="V83">
        <v>246967201</v>
      </c>
      <c r="W83">
        <v>484673131.96249998</v>
      </c>
      <c r="X83">
        <f t="shared" ref="X83" si="171">SUM($D$83+$E$83)</f>
        <v>731640332.96249998</v>
      </c>
      <c r="Y83">
        <v>246967201</v>
      </c>
      <c r="Z83">
        <v>484673131.96249998</v>
      </c>
      <c r="AA83">
        <f t="shared" ref="AA83" si="172">SUM($D$83+$E$83)</f>
        <v>731640332.96249998</v>
      </c>
      <c r="AB83">
        <v>246967201</v>
      </c>
      <c r="AC83">
        <v>484673131.96249998</v>
      </c>
      <c r="AD83">
        <f t="shared" ref="AD83" si="173">SUM($D$83+$E$83)</f>
        <v>731640332.96249998</v>
      </c>
      <c r="AE83">
        <v>246967201</v>
      </c>
      <c r="AF83">
        <v>484673131.96249998</v>
      </c>
      <c r="AG83">
        <f t="shared" ref="AG83" si="174">SUM($D$83+$E$83)</f>
        <v>731640332.96249998</v>
      </c>
      <c r="AH83">
        <v>246967201</v>
      </c>
      <c r="AI83">
        <v>484673131.96249998</v>
      </c>
      <c r="AJ83">
        <f t="shared" ref="AJ83" si="175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>
        <v>1010655858.4018</v>
      </c>
      <c r="AP83">
        <f>SUM($AN$83+$AO$83)</f>
        <v>1361127772.4018002</v>
      </c>
      <c r="AQ83">
        <v>535471316</v>
      </c>
      <c r="AR83">
        <v>2003573023.0772002</v>
      </c>
      <c r="AS83">
        <f>SUM($AQ$83+$AR$83)</f>
        <v>2539044339.0771999</v>
      </c>
      <c r="AT83">
        <v>555360111</v>
      </c>
      <c r="AU83">
        <v>2166626401.0443001</v>
      </c>
      <c r="AV83">
        <f>SUM($AT$83+$AU$83)</f>
        <v>2721986512.0443001</v>
      </c>
      <c r="AX83" s="57">
        <f t="shared" si="30"/>
        <v>7.205158655621946E-2</v>
      </c>
      <c r="AY83" s="57"/>
    </row>
    <row r="84" spans="2:51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6">SUM($D$84+$E$84)</f>
        <v>3626601224.7228003</v>
      </c>
      <c r="J84">
        <v>547461087</v>
      </c>
      <c r="K84">
        <v>3079140137.7228003</v>
      </c>
      <c r="L84">
        <f t="shared" ref="L84" si="177">SUM($D$84+$E$84)</f>
        <v>3626601224.7228003</v>
      </c>
      <c r="M84">
        <v>547461087</v>
      </c>
      <c r="N84">
        <v>3079140137.7228003</v>
      </c>
      <c r="O84">
        <f t="shared" ref="O84" si="178">SUM($D$84+$E$84)</f>
        <v>3626601224.7228003</v>
      </c>
      <c r="P84">
        <v>547461087</v>
      </c>
      <c r="Q84">
        <v>3079140137.7228003</v>
      </c>
      <c r="R84">
        <f t="shared" ref="R84" si="179">SUM($D$84+$E$84)</f>
        <v>3626601224.7228003</v>
      </c>
      <c r="S84">
        <v>547461087</v>
      </c>
      <c r="T84">
        <v>3079140137.7228003</v>
      </c>
      <c r="U84">
        <f t="shared" ref="U84" si="180">SUM($D$84+$E$84)</f>
        <v>3626601224.7228003</v>
      </c>
      <c r="V84">
        <v>547461087</v>
      </c>
      <c r="W84">
        <v>3079140137.7228003</v>
      </c>
      <c r="X84">
        <f t="shared" ref="X84" si="181">SUM($D$84+$E$84)</f>
        <v>3626601224.7228003</v>
      </c>
      <c r="Y84">
        <v>547461087</v>
      </c>
      <c r="Z84">
        <v>3079140137.7228003</v>
      </c>
      <c r="AA84">
        <f t="shared" ref="AA84" si="182">SUM($D$84+$E$84)</f>
        <v>3626601224.7228003</v>
      </c>
      <c r="AB84">
        <v>547461087</v>
      </c>
      <c r="AC84">
        <v>3079140137.7228003</v>
      </c>
      <c r="AD84">
        <f t="shared" ref="AD84" si="183">SUM($D$84+$E$84)</f>
        <v>3626601224.7228003</v>
      </c>
      <c r="AE84">
        <v>547461087</v>
      </c>
      <c r="AF84">
        <v>3079140137.7228003</v>
      </c>
      <c r="AG84">
        <f t="shared" ref="AG84" si="184">SUM($D$84+$E$84)</f>
        <v>3626601224.7228003</v>
      </c>
      <c r="AH84">
        <v>547461087</v>
      </c>
      <c r="AI84">
        <v>3079140137.7228003</v>
      </c>
      <c r="AJ84">
        <f t="shared" ref="AJ84" si="185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>
        <v>3391492743.3061996</v>
      </c>
      <c r="AP84">
        <f>SUM($AN$84+$AO$84)</f>
        <v>3969200770.3061996</v>
      </c>
      <c r="AQ84">
        <v>694557862</v>
      </c>
      <c r="AR84">
        <v>4406344532.3141994</v>
      </c>
      <c r="AS84">
        <f>SUM($AQ$84+$AR$84)</f>
        <v>5100902394.3141994</v>
      </c>
      <c r="AT84">
        <v>723537632</v>
      </c>
      <c r="AU84">
        <v>4732876712.2016001</v>
      </c>
      <c r="AV84">
        <f>SUM($AT$84+$AU$84)</f>
        <v>5456414344.2016001</v>
      </c>
      <c r="AX84" s="57">
        <f t="shared" si="30"/>
        <v>6.969589347243299E-2</v>
      </c>
      <c r="AY84" s="57"/>
    </row>
    <row r="85" spans="2:51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6">SUM($D$85+$E$85)</f>
        <v>1706395684.6807001</v>
      </c>
      <c r="J85">
        <v>339790853</v>
      </c>
      <c r="K85">
        <v>1366604831.6807001</v>
      </c>
      <c r="L85">
        <f t="shared" ref="L85" si="187">SUM($D$85+$E$85)</f>
        <v>1706395684.6807001</v>
      </c>
      <c r="M85">
        <v>339790853</v>
      </c>
      <c r="N85">
        <v>1366604831.6807001</v>
      </c>
      <c r="O85">
        <f t="shared" ref="O85" si="188">SUM($D$85+$E$85)</f>
        <v>1706395684.6807001</v>
      </c>
      <c r="P85">
        <v>339790853</v>
      </c>
      <c r="Q85">
        <v>1366604831.6807001</v>
      </c>
      <c r="R85">
        <f t="shared" ref="R85" si="189">SUM($D$85+$E$85)</f>
        <v>1706395684.6807001</v>
      </c>
      <c r="S85">
        <v>339790853</v>
      </c>
      <c r="T85">
        <v>1366604831.6807001</v>
      </c>
      <c r="U85">
        <f t="shared" ref="U85" si="190">SUM($D$85+$E$85)</f>
        <v>1706395684.6807001</v>
      </c>
      <c r="V85">
        <v>339790853</v>
      </c>
      <c r="W85">
        <v>1366604831.6807001</v>
      </c>
      <c r="X85">
        <f t="shared" ref="X85" si="191">SUM($D$85+$E$85)</f>
        <v>1706395684.6807001</v>
      </c>
      <c r="Y85">
        <v>339790853</v>
      </c>
      <c r="Z85">
        <v>1366604831.6807001</v>
      </c>
      <c r="AA85">
        <f t="shared" ref="AA85" si="192">SUM($D$85+$E$85)</f>
        <v>1706395684.6807001</v>
      </c>
      <c r="AB85">
        <v>339790853</v>
      </c>
      <c r="AC85">
        <v>1366604831.6807001</v>
      </c>
      <c r="AD85">
        <f t="shared" ref="AD85" si="193">SUM($D$85+$E$85)</f>
        <v>1706395684.6807001</v>
      </c>
      <c r="AE85">
        <v>339790853</v>
      </c>
      <c r="AF85">
        <v>1366604831.6807001</v>
      </c>
      <c r="AG85">
        <f t="shared" ref="AG85" si="194">SUM($D$85+$E$85)</f>
        <v>1706395684.6807001</v>
      </c>
      <c r="AH85">
        <v>339790853</v>
      </c>
      <c r="AI85">
        <v>1366604831.6807001</v>
      </c>
      <c r="AJ85">
        <f t="shared" ref="AJ85" si="195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>
        <v>1766834474.0046</v>
      </c>
      <c r="AP85">
        <f>SUM($AN$85+$AO$85)</f>
        <v>2161093963.0046</v>
      </c>
      <c r="AQ85">
        <v>535305364</v>
      </c>
      <c r="AR85">
        <v>3011681508.4004002</v>
      </c>
      <c r="AS85">
        <f>SUM($AQ$85+$AR$85)</f>
        <v>3546986872.4004002</v>
      </c>
      <c r="AT85">
        <v>559107684</v>
      </c>
      <c r="AU85">
        <v>3210731786.1384001</v>
      </c>
      <c r="AV85">
        <f>SUM($AT$85+$AU$85)</f>
        <v>3769839470.1384001</v>
      </c>
      <c r="AX85" s="57">
        <f t="shared" si="30"/>
        <v>6.2828706661433475E-2</v>
      </c>
      <c r="AY85" s="57"/>
    </row>
    <row r="86" spans="2:51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6">SUM($D$86+$E$86)</f>
        <v>855415896.19199991</v>
      </c>
      <c r="J86">
        <v>233669115</v>
      </c>
      <c r="K86">
        <v>621746781.19199991</v>
      </c>
      <c r="L86">
        <f t="shared" ref="L86" si="197">SUM($D$86+$E$86)</f>
        <v>855415896.19199991</v>
      </c>
      <c r="M86">
        <v>233669115</v>
      </c>
      <c r="N86">
        <v>621746781.19199991</v>
      </c>
      <c r="O86">
        <f t="shared" ref="O86" si="198">SUM($D$86+$E$86)</f>
        <v>855415896.19199991</v>
      </c>
      <c r="P86">
        <v>233669115</v>
      </c>
      <c r="Q86">
        <v>621746781.19199991</v>
      </c>
      <c r="R86">
        <f t="shared" ref="R86" si="199">SUM($D$86+$E$86)</f>
        <v>855415896.19199991</v>
      </c>
      <c r="S86">
        <v>233669115</v>
      </c>
      <c r="T86">
        <v>621746781.19199991</v>
      </c>
      <c r="U86">
        <f t="shared" ref="U86" si="200">SUM($D$86+$E$86)</f>
        <v>855415896.19199991</v>
      </c>
      <c r="V86">
        <v>233669115</v>
      </c>
      <c r="W86">
        <v>621746781.19199991</v>
      </c>
      <c r="X86">
        <f t="shared" ref="X86" si="201">SUM($D$86+$E$86)</f>
        <v>855415896.19199991</v>
      </c>
      <c r="Y86">
        <v>233669115</v>
      </c>
      <c r="Z86">
        <v>621746781.19199991</v>
      </c>
      <c r="AA86">
        <f t="shared" ref="AA86" si="202">SUM($D$86+$E$86)</f>
        <v>855415896.19199991</v>
      </c>
      <c r="AB86">
        <v>233669115</v>
      </c>
      <c r="AC86">
        <v>621746781.19199991</v>
      </c>
      <c r="AD86">
        <f t="shared" ref="AD86" si="203">SUM($D$86+$E$86)</f>
        <v>855415896.19199991</v>
      </c>
      <c r="AE86">
        <v>233669115</v>
      </c>
      <c r="AF86">
        <v>621746781.19199991</v>
      </c>
      <c r="AG86">
        <f t="shared" ref="AG86" si="204">SUM($D$86+$E$86)</f>
        <v>855415896.19199991</v>
      </c>
      <c r="AH86">
        <v>233669115</v>
      </c>
      <c r="AI86">
        <v>621746781.19199991</v>
      </c>
      <c r="AJ86">
        <f t="shared" ref="AJ86" si="205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>
        <v>763443404.3664</v>
      </c>
      <c r="AP86">
        <f>SUM($AN$86+$AO$86)</f>
        <v>1028086847.3664</v>
      </c>
      <c r="AQ86">
        <v>414028358</v>
      </c>
      <c r="AR86">
        <v>1598770504.4169998</v>
      </c>
      <c r="AS86">
        <f>SUM($AQ$86+$AR$86)</f>
        <v>2012798862.4169998</v>
      </c>
      <c r="AT86">
        <v>414763543</v>
      </c>
      <c r="AU86">
        <v>1600406607.0197999</v>
      </c>
      <c r="AV86">
        <f>SUM($AT$86+$AU$86)</f>
        <v>2015170150.0197999</v>
      </c>
      <c r="AX86" s="57">
        <f t="shared" si="30"/>
        <v>1.1781046020429287E-3</v>
      </c>
      <c r="AY86" s="57"/>
    </row>
    <row r="87" spans="2:51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6">SUM($D$87+$E$87)</f>
        <v>125714499.46000001</v>
      </c>
      <c r="J87">
        <v>78817868</v>
      </c>
      <c r="K87">
        <v>46896631.460000001</v>
      </c>
      <c r="L87">
        <f t="shared" ref="L87" si="207">SUM($D$87+$E$87)</f>
        <v>125714499.46000001</v>
      </c>
      <c r="M87">
        <v>78817868</v>
      </c>
      <c r="N87">
        <v>46896631.460000001</v>
      </c>
      <c r="O87">
        <f t="shared" ref="O87" si="208">SUM($D$87+$E$87)</f>
        <v>125714499.46000001</v>
      </c>
      <c r="P87">
        <v>78817868</v>
      </c>
      <c r="Q87">
        <v>46896631.460000001</v>
      </c>
      <c r="R87">
        <f t="shared" ref="R87" si="209">SUM($D$87+$E$87)</f>
        <v>125714499.46000001</v>
      </c>
      <c r="S87">
        <v>78817868</v>
      </c>
      <c r="T87">
        <v>46896631.460000001</v>
      </c>
      <c r="U87">
        <f t="shared" ref="U87" si="210">SUM($D$87+$E$87)</f>
        <v>125714499.46000001</v>
      </c>
      <c r="V87">
        <v>78817868</v>
      </c>
      <c r="W87">
        <v>46896631.460000001</v>
      </c>
      <c r="X87">
        <f t="shared" ref="X87" si="211">SUM($D$87+$E$87)</f>
        <v>125714499.46000001</v>
      </c>
      <c r="Y87">
        <v>78817868</v>
      </c>
      <c r="Z87">
        <v>46896631.460000001</v>
      </c>
      <c r="AA87">
        <f t="shared" ref="AA87" si="212">SUM($D$87+$E$87)</f>
        <v>125714499.46000001</v>
      </c>
      <c r="AB87">
        <v>78817868</v>
      </c>
      <c r="AC87">
        <v>46896631.460000001</v>
      </c>
      <c r="AD87">
        <f t="shared" ref="AD87" si="213">SUM($D$87+$E$87)</f>
        <v>125714499.46000001</v>
      </c>
      <c r="AE87">
        <v>78817868</v>
      </c>
      <c r="AF87">
        <v>46896631.460000001</v>
      </c>
      <c r="AG87">
        <f t="shared" ref="AG87" si="214">SUM($D$87+$E$87)</f>
        <v>125714499.46000001</v>
      </c>
      <c r="AH87">
        <v>78817868</v>
      </c>
      <c r="AI87">
        <v>46896631.460000001</v>
      </c>
      <c r="AJ87">
        <f t="shared" ref="AJ87" si="215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>
        <v>189103202.26000002</v>
      </c>
      <c r="AP87">
        <f>SUM($AN$87+$AO$87)</f>
        <v>324099777.25999999</v>
      </c>
      <c r="AQ87">
        <v>473266594</v>
      </c>
      <c r="AR87">
        <v>2298182580.4640002</v>
      </c>
      <c r="AS87">
        <f>SUM($AQ$87+$AR$87)</f>
        <v>2771449174.4640002</v>
      </c>
      <c r="AT87">
        <v>633981430</v>
      </c>
      <c r="AU87">
        <v>3703973106.632</v>
      </c>
      <c r="AV87">
        <f>SUM($AT$87+$AU$87)</f>
        <v>4337954536.632</v>
      </c>
      <c r="AX87" s="57">
        <f t="shared" si="30"/>
        <v>0.5652296916002304</v>
      </c>
      <c r="AY87" s="57"/>
    </row>
    <row r="88" spans="2:51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6">SUM($D$88+$E$88)</f>
        <v>267653972.29999998</v>
      </c>
      <c r="J88">
        <v>85077550</v>
      </c>
      <c r="K88">
        <v>182576422.29999998</v>
      </c>
      <c r="L88">
        <f t="shared" ref="L88" si="217">SUM($D$88+$E$88)</f>
        <v>267653972.29999998</v>
      </c>
      <c r="M88">
        <v>85077550</v>
      </c>
      <c r="N88">
        <v>182576422.29999998</v>
      </c>
      <c r="O88">
        <f t="shared" ref="O88" si="218">SUM($D$88+$E$88)</f>
        <v>267653972.29999998</v>
      </c>
      <c r="P88">
        <v>85077550</v>
      </c>
      <c r="Q88">
        <v>182576422.29999998</v>
      </c>
      <c r="R88">
        <f t="shared" ref="R88" si="219">SUM($D$88+$E$88)</f>
        <v>267653972.29999998</v>
      </c>
      <c r="S88">
        <v>85077550</v>
      </c>
      <c r="T88">
        <v>182576422.29999998</v>
      </c>
      <c r="U88">
        <f t="shared" ref="U88" si="220">SUM($D$88+$E$88)</f>
        <v>267653972.29999998</v>
      </c>
      <c r="V88">
        <v>85077550</v>
      </c>
      <c r="W88">
        <v>182576422.29999998</v>
      </c>
      <c r="X88">
        <f t="shared" ref="X88" si="221">SUM($D$88+$E$88)</f>
        <v>267653972.29999998</v>
      </c>
      <c r="Y88">
        <v>85077550</v>
      </c>
      <c r="Z88">
        <v>182576422.29999998</v>
      </c>
      <c r="AA88">
        <f t="shared" ref="AA88" si="222">SUM($D$88+$E$88)</f>
        <v>267653972.29999998</v>
      </c>
      <c r="AB88">
        <v>85077550</v>
      </c>
      <c r="AC88">
        <v>182576422.29999998</v>
      </c>
      <c r="AD88">
        <f t="shared" ref="AD88" si="223">SUM($D$88+$E$88)</f>
        <v>267653972.29999998</v>
      </c>
      <c r="AE88">
        <v>85077550</v>
      </c>
      <c r="AF88">
        <v>182576422.29999998</v>
      </c>
      <c r="AG88">
        <f t="shared" ref="AG88" si="224">SUM($D$88+$E$88)</f>
        <v>267653972.29999998</v>
      </c>
      <c r="AH88">
        <v>85077550</v>
      </c>
      <c r="AI88">
        <v>182576422.29999998</v>
      </c>
      <c r="AJ88">
        <f t="shared" ref="AJ88" si="225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>
        <v>199684004.43599999</v>
      </c>
      <c r="AP88">
        <f>SUM($AN$88+$AO$88)</f>
        <v>289052069.43599999</v>
      </c>
      <c r="AQ88">
        <v>128790740</v>
      </c>
      <c r="AR88">
        <v>351997971.49400002</v>
      </c>
      <c r="AS88">
        <f>SUM($AQ$88+$AR$88)</f>
        <v>480788711.49400002</v>
      </c>
      <c r="AT88">
        <v>179827607</v>
      </c>
      <c r="AU88">
        <v>542665769.64389992</v>
      </c>
      <c r="AV88">
        <f>SUM($AT$88+$AU$88)</f>
        <v>722493376.64389992</v>
      </c>
      <c r="AX88" s="57">
        <f t="shared" si="30"/>
        <v>0.50272533312778545</v>
      </c>
      <c r="AY88" s="57"/>
    </row>
    <row r="89" spans="2:51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6">SUM($D$89+$E$89)</f>
        <v>6357757199.0967999</v>
      </c>
      <c r="J89">
        <v>712816979</v>
      </c>
      <c r="K89">
        <v>5644940220.0967999</v>
      </c>
      <c r="L89">
        <f t="shared" ref="L89" si="227">SUM($D$89+$E$89)</f>
        <v>6357757199.0967999</v>
      </c>
      <c r="M89">
        <v>712816979</v>
      </c>
      <c r="N89">
        <v>5644940220.0967999</v>
      </c>
      <c r="O89">
        <f t="shared" ref="O89" si="228">SUM($D$89+$E$89)</f>
        <v>6357757199.0967999</v>
      </c>
      <c r="P89">
        <v>712816979</v>
      </c>
      <c r="Q89">
        <v>5644940220.0967999</v>
      </c>
      <c r="R89">
        <f t="shared" ref="R89" si="229">SUM($D$89+$E$89)</f>
        <v>6357757199.0967999</v>
      </c>
      <c r="S89">
        <v>712816979</v>
      </c>
      <c r="T89">
        <v>5644940220.0967999</v>
      </c>
      <c r="U89">
        <f t="shared" ref="U89" si="230">SUM($D$89+$E$89)</f>
        <v>6357757199.0967999</v>
      </c>
      <c r="V89">
        <v>712816979</v>
      </c>
      <c r="W89">
        <v>5644940220.0967999</v>
      </c>
      <c r="X89">
        <f t="shared" ref="X89" si="231">SUM($D$89+$E$89)</f>
        <v>6357757199.0967999</v>
      </c>
      <c r="Y89">
        <v>712816979</v>
      </c>
      <c r="Z89">
        <v>5644940220.0967999</v>
      </c>
      <c r="AA89">
        <f t="shared" ref="AA89" si="232">SUM($D$89+$E$89)</f>
        <v>6357757199.0967999</v>
      </c>
      <c r="AB89">
        <v>712816979</v>
      </c>
      <c r="AC89">
        <v>5644940220.0967999</v>
      </c>
      <c r="AD89">
        <f t="shared" ref="AD89" si="233">SUM($D$89+$E$89)</f>
        <v>6357757199.0967999</v>
      </c>
      <c r="AE89">
        <v>712816979</v>
      </c>
      <c r="AF89">
        <v>5644940220.0967999</v>
      </c>
      <c r="AG89">
        <f t="shared" ref="AG89" si="234">SUM($D$89+$E$89)</f>
        <v>6357757199.0967999</v>
      </c>
      <c r="AH89">
        <v>712816979</v>
      </c>
      <c r="AI89">
        <v>5644940220.0967999</v>
      </c>
      <c r="AJ89">
        <f t="shared" ref="AJ89" si="235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>
        <v>8533176546.9459</v>
      </c>
      <c r="AP89">
        <f>SUM($AN$89+$AO$89)</f>
        <v>9502073975.9459</v>
      </c>
      <c r="AQ89">
        <v>1343483369</v>
      </c>
      <c r="AR89">
        <v>14343700189.128502</v>
      </c>
      <c r="AS89">
        <f>SUM($AQ$89+$AR$89)</f>
        <v>15687183558.128502</v>
      </c>
      <c r="AT89">
        <v>1387488904</v>
      </c>
      <c r="AU89">
        <v>15253775512.795202</v>
      </c>
      <c r="AV89">
        <f>SUM($AT$89+$AU$89)</f>
        <v>16641264416.795202</v>
      </c>
      <c r="AX89" s="57">
        <f t="shared" si="30"/>
        <v>6.0819130160068235E-2</v>
      </c>
      <c r="AY89" s="57"/>
    </row>
    <row r="90" spans="2:51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6">SUM($D$90+$E$90)</f>
        <v>38609636.326499999</v>
      </c>
      <c r="J90">
        <v>29066955</v>
      </c>
      <c r="K90">
        <v>9542681.3265000004</v>
      </c>
      <c r="L90">
        <f t="shared" ref="L90" si="237">SUM($D$90+$E$90)</f>
        <v>38609636.326499999</v>
      </c>
      <c r="M90">
        <v>29066955</v>
      </c>
      <c r="N90">
        <v>9542681.3265000004</v>
      </c>
      <c r="O90">
        <f t="shared" ref="O90" si="238">SUM($D$90+$E$90)</f>
        <v>38609636.326499999</v>
      </c>
      <c r="P90">
        <v>29066955</v>
      </c>
      <c r="Q90">
        <v>9542681.3265000004</v>
      </c>
      <c r="R90">
        <f t="shared" ref="R90" si="239">SUM($D$90+$E$90)</f>
        <v>38609636.326499999</v>
      </c>
      <c r="S90">
        <v>29066955</v>
      </c>
      <c r="T90">
        <v>9542681.3265000004</v>
      </c>
      <c r="U90">
        <f t="shared" ref="U90" si="240">SUM($D$90+$E$90)</f>
        <v>38609636.326499999</v>
      </c>
      <c r="V90">
        <v>29066955</v>
      </c>
      <c r="W90">
        <v>9542681.3265000004</v>
      </c>
      <c r="X90">
        <f t="shared" ref="X90" si="241">SUM($D$90+$E$90)</f>
        <v>38609636.326499999</v>
      </c>
      <c r="Y90">
        <v>29066955</v>
      </c>
      <c r="Z90">
        <v>9542681.3265000004</v>
      </c>
      <c r="AA90">
        <f t="shared" ref="AA90" si="242">SUM($D$90+$E$90)</f>
        <v>38609636.326499999</v>
      </c>
      <c r="AB90">
        <v>29066955</v>
      </c>
      <c r="AC90">
        <v>9542681.3265000004</v>
      </c>
      <c r="AD90">
        <f t="shared" ref="AD90" si="243">SUM($D$90+$E$90)</f>
        <v>38609636.326499999</v>
      </c>
      <c r="AE90">
        <v>29066955</v>
      </c>
      <c r="AF90">
        <v>9542681.3265000004</v>
      </c>
      <c r="AG90">
        <f t="shared" ref="AG90" si="244">SUM($D$90+$E$90)</f>
        <v>38609636.326499999</v>
      </c>
      <c r="AH90">
        <v>29066955</v>
      </c>
      <c r="AI90">
        <v>9542681.3265000004</v>
      </c>
      <c r="AJ90">
        <f t="shared" ref="AJ90" si="245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>
        <v>15448005.3375</v>
      </c>
      <c r="AP90">
        <f>SUM($AN$90+$AO$90)</f>
        <v>51583690.337499999</v>
      </c>
      <c r="AQ90">
        <v>40788470</v>
      </c>
      <c r="AR90">
        <v>23208639.43</v>
      </c>
      <c r="AS90">
        <f>SUM($AQ$90+$AR$90)</f>
        <v>63997109.43</v>
      </c>
      <c r="AT90">
        <v>40788470</v>
      </c>
      <c r="AU90">
        <v>23208639.43</v>
      </c>
      <c r="AV90">
        <f>SUM($AT$90+$AU$90)</f>
        <v>63997109.43</v>
      </c>
      <c r="AX90" s="57">
        <f t="shared" si="30"/>
        <v>0</v>
      </c>
      <c r="AY90" s="57"/>
    </row>
    <row r="91" spans="2:51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6">SUM($D$91+$E$91)</f>
        <v>8419755.8998000007</v>
      </c>
      <c r="J91">
        <v>6363658</v>
      </c>
      <c r="K91">
        <v>2056097.8998000002</v>
      </c>
      <c r="L91">
        <f t="shared" ref="L91" si="247">SUM($D$91+$E$91)</f>
        <v>8419755.8998000007</v>
      </c>
      <c r="M91">
        <v>6363658</v>
      </c>
      <c r="N91">
        <v>2056097.8998000002</v>
      </c>
      <c r="O91">
        <f t="shared" ref="O91" si="248">SUM($D$91+$E$91)</f>
        <v>8419755.8998000007</v>
      </c>
      <c r="P91">
        <v>6363658</v>
      </c>
      <c r="Q91">
        <v>2056097.8998000002</v>
      </c>
      <c r="R91">
        <f t="shared" ref="R91" si="249">SUM($D$91+$E$91)</f>
        <v>8419755.8998000007</v>
      </c>
      <c r="S91">
        <v>6363658</v>
      </c>
      <c r="T91">
        <v>2056097.8998000002</v>
      </c>
      <c r="U91">
        <f t="shared" ref="U91" si="250">SUM($D$91+$E$91)</f>
        <v>8419755.8998000007</v>
      </c>
      <c r="V91">
        <v>6363658</v>
      </c>
      <c r="W91">
        <v>2056097.8998000002</v>
      </c>
      <c r="X91">
        <f t="shared" ref="X91" si="251">SUM($D$91+$E$91)</f>
        <v>8419755.8998000007</v>
      </c>
      <c r="Y91">
        <v>6363658</v>
      </c>
      <c r="Z91">
        <v>2056097.8998000002</v>
      </c>
      <c r="AA91">
        <f t="shared" ref="AA91" si="252">SUM($D$91+$E$91)</f>
        <v>8419755.8998000007</v>
      </c>
      <c r="AB91">
        <v>6363658</v>
      </c>
      <c r="AC91">
        <v>2056097.8998000002</v>
      </c>
      <c r="AD91">
        <f t="shared" ref="AD91" si="253">SUM($D$91+$E$91)</f>
        <v>8419755.8998000007</v>
      </c>
      <c r="AE91">
        <v>6363658</v>
      </c>
      <c r="AF91">
        <v>2056097.8998000002</v>
      </c>
      <c r="AG91">
        <f t="shared" ref="AG91" si="254">SUM($D$91+$E$91)</f>
        <v>8419755.8998000007</v>
      </c>
      <c r="AH91">
        <v>6363658</v>
      </c>
      <c r="AI91">
        <v>2056097.8998000002</v>
      </c>
      <c r="AJ91">
        <f t="shared" ref="AJ91" si="255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>
        <v>7314474.4279999994</v>
      </c>
      <c r="AP91">
        <f>SUM($AN$91+$AO$91)</f>
        <v>19424531.427999999</v>
      </c>
      <c r="AQ91">
        <v>16049902</v>
      </c>
      <c r="AR91">
        <v>12759672.09</v>
      </c>
      <c r="AS91">
        <f>SUM($AQ$91+$AR$91)</f>
        <v>28809574.09</v>
      </c>
      <c r="AT91">
        <v>16049902</v>
      </c>
      <c r="AU91">
        <v>12759672.09</v>
      </c>
      <c r="AV91">
        <f>SUM($AT$91+$AU$91)</f>
        <v>28809574.09</v>
      </c>
      <c r="AX91" s="57">
        <f t="shared" si="30"/>
        <v>0</v>
      </c>
      <c r="AY91" s="57"/>
    </row>
    <row r="92" spans="2:51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6">SUM($D$92+$E$92)</f>
        <v>1916473953.8357</v>
      </c>
      <c r="J92">
        <v>327764867</v>
      </c>
      <c r="K92">
        <v>1588709086.8357</v>
      </c>
      <c r="L92">
        <f t="shared" ref="L92" si="257">SUM($D$92+$E$92)</f>
        <v>1916473953.8357</v>
      </c>
      <c r="M92">
        <v>327764867</v>
      </c>
      <c r="N92">
        <v>1588709086.8357</v>
      </c>
      <c r="O92">
        <f t="shared" ref="O92" si="258">SUM($D$92+$E$92)</f>
        <v>1916473953.8357</v>
      </c>
      <c r="P92">
        <v>327764867</v>
      </c>
      <c r="Q92">
        <v>1588709086.8357</v>
      </c>
      <c r="R92">
        <f t="shared" ref="R92" si="259">SUM($D$92+$E$92)</f>
        <v>1916473953.8357</v>
      </c>
      <c r="S92">
        <v>327764867</v>
      </c>
      <c r="T92">
        <v>1588709086.8357</v>
      </c>
      <c r="U92">
        <f t="shared" ref="U92" si="260">SUM($D$92+$E$92)</f>
        <v>1916473953.8357</v>
      </c>
      <c r="V92">
        <v>327764867</v>
      </c>
      <c r="W92">
        <v>1588709086.8357</v>
      </c>
      <c r="X92">
        <f t="shared" ref="X92" si="261">SUM($D$92+$E$92)</f>
        <v>1916473953.8357</v>
      </c>
      <c r="Y92">
        <v>327764867</v>
      </c>
      <c r="Z92">
        <v>1588709086.8357</v>
      </c>
      <c r="AA92">
        <f t="shared" ref="AA92" si="262">SUM($D$92+$E$92)</f>
        <v>1916473953.8357</v>
      </c>
      <c r="AB92">
        <v>327764867</v>
      </c>
      <c r="AC92">
        <v>1588709086.8357</v>
      </c>
      <c r="AD92">
        <f t="shared" ref="AD92" si="263">SUM($D$92+$E$92)</f>
        <v>1916473953.8357</v>
      </c>
      <c r="AE92">
        <v>327764867</v>
      </c>
      <c r="AF92">
        <v>1588709086.8357</v>
      </c>
      <c r="AG92">
        <f t="shared" ref="AG92" si="264">SUM($D$92+$E$92)</f>
        <v>1916473953.8357</v>
      </c>
      <c r="AH92">
        <v>327764867</v>
      </c>
      <c r="AI92">
        <v>1588709086.8357</v>
      </c>
      <c r="AJ92">
        <f t="shared" ref="AJ92" si="265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>
        <v>1997806059.3158998</v>
      </c>
      <c r="AP92">
        <f>SUM($AN$92+$AO$92)</f>
        <v>2380153968.3158998</v>
      </c>
      <c r="AQ92">
        <v>548556784</v>
      </c>
      <c r="AR92">
        <v>3421458373.1648002</v>
      </c>
      <c r="AS92">
        <f>SUM($AQ$92+$AR$92)</f>
        <v>3970015157.1648002</v>
      </c>
      <c r="AT92">
        <v>574759249</v>
      </c>
      <c r="AU92">
        <v>3635467201.7747998</v>
      </c>
      <c r="AV92">
        <f>SUM($AT$92+$AU$92)</f>
        <v>4210226450.7747998</v>
      </c>
      <c r="AX92" s="57">
        <f t="shared" si="30"/>
        <v>6.0506392066660863E-2</v>
      </c>
      <c r="AY92" s="57"/>
    </row>
    <row r="93" spans="2:51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6">SUM($D$93+$E$93)</f>
        <v>2212481964.902</v>
      </c>
      <c r="J93">
        <v>382981126</v>
      </c>
      <c r="K93">
        <v>1829500838.902</v>
      </c>
      <c r="L93">
        <f t="shared" ref="L93" si="267">SUM($D$93+$E$93)</f>
        <v>2212481964.902</v>
      </c>
      <c r="M93">
        <v>382981126</v>
      </c>
      <c r="N93">
        <v>1829500838.902</v>
      </c>
      <c r="O93">
        <f t="shared" ref="O93" si="268">SUM($D$93+$E$93)</f>
        <v>2212481964.902</v>
      </c>
      <c r="P93">
        <v>382981126</v>
      </c>
      <c r="Q93">
        <v>1829500838.902</v>
      </c>
      <c r="R93">
        <f t="shared" ref="R93" si="269">SUM($D$93+$E$93)</f>
        <v>2212481964.902</v>
      </c>
      <c r="S93">
        <v>382981126</v>
      </c>
      <c r="T93">
        <v>1829500838.902</v>
      </c>
      <c r="U93">
        <f t="shared" ref="U93" si="270">SUM($D$93+$E$93)</f>
        <v>2212481964.902</v>
      </c>
      <c r="V93">
        <v>382981126</v>
      </c>
      <c r="W93">
        <v>1829500838.902</v>
      </c>
      <c r="X93">
        <f t="shared" ref="X93" si="271">SUM($D$93+$E$93)</f>
        <v>2212481964.902</v>
      </c>
      <c r="Y93">
        <v>382981126</v>
      </c>
      <c r="Z93">
        <v>1829500838.902</v>
      </c>
      <c r="AA93">
        <f t="shared" ref="AA93" si="272">SUM($D$93+$E$93)</f>
        <v>2212481964.902</v>
      </c>
      <c r="AB93">
        <v>382981126</v>
      </c>
      <c r="AC93">
        <v>1829500838.902</v>
      </c>
      <c r="AD93">
        <f t="shared" ref="AD93" si="273">SUM($D$93+$E$93)</f>
        <v>2212481964.902</v>
      </c>
      <c r="AE93">
        <v>382981126</v>
      </c>
      <c r="AF93">
        <v>1829500838.902</v>
      </c>
      <c r="AG93">
        <f t="shared" ref="AG93" si="274">SUM($D$93+$E$93)</f>
        <v>2212481964.902</v>
      </c>
      <c r="AH93">
        <v>382981126</v>
      </c>
      <c r="AI93">
        <v>1829500838.902</v>
      </c>
      <c r="AJ93">
        <f t="shared" ref="AJ93" si="275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>
        <v>2745010502.388</v>
      </c>
      <c r="AP93">
        <f>SUM($AN$93+$AO$93)</f>
        <v>3252218651.388</v>
      </c>
      <c r="AQ93">
        <v>775595369</v>
      </c>
      <c r="AR93">
        <v>5632606248.2887001</v>
      </c>
      <c r="AS93">
        <f>SUM($AQ$93+$AR$93)</f>
        <v>6408201617.2887001</v>
      </c>
      <c r="AT93">
        <v>863466836</v>
      </c>
      <c r="AU93">
        <v>6525909653.1208</v>
      </c>
      <c r="AV93">
        <f>SUM($AT$93+$AU$93)</f>
        <v>7389376489.1208</v>
      </c>
      <c r="AX93" s="57">
        <f t="shared" si="30"/>
        <v>0.15311235982104354</v>
      </c>
      <c r="AY93" s="57"/>
    </row>
    <row r="94" spans="2:51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6">SUM($D$94+$E$94)</f>
        <v>851721169.89049995</v>
      </c>
      <c r="J94">
        <v>242331115</v>
      </c>
      <c r="K94">
        <v>609390054.89049995</v>
      </c>
      <c r="L94">
        <f t="shared" ref="L94" si="277">SUM($D$94+$E$94)</f>
        <v>851721169.89049995</v>
      </c>
      <c r="M94">
        <v>242331115</v>
      </c>
      <c r="N94">
        <v>609390054.89049995</v>
      </c>
      <c r="O94">
        <f t="shared" ref="O94" si="278">SUM($D$94+$E$94)</f>
        <v>851721169.89049995</v>
      </c>
      <c r="P94">
        <v>242331115</v>
      </c>
      <c r="Q94">
        <v>609390054.89049995</v>
      </c>
      <c r="R94">
        <f t="shared" ref="R94" si="279">SUM($D$94+$E$94)</f>
        <v>851721169.89049995</v>
      </c>
      <c r="S94">
        <v>242331115</v>
      </c>
      <c r="T94">
        <v>609390054.89049995</v>
      </c>
      <c r="U94">
        <f t="shared" ref="U94" si="280">SUM($D$94+$E$94)</f>
        <v>851721169.89049995</v>
      </c>
      <c r="V94">
        <v>242331115</v>
      </c>
      <c r="W94">
        <v>609390054.89049995</v>
      </c>
      <c r="X94">
        <f t="shared" ref="X94" si="281">SUM($D$94+$E$94)</f>
        <v>851721169.89049995</v>
      </c>
      <c r="Y94">
        <v>242331115</v>
      </c>
      <c r="Z94">
        <v>609390054.89049995</v>
      </c>
      <c r="AA94">
        <f t="shared" ref="AA94" si="282">SUM($D$94+$E$94)</f>
        <v>851721169.89049995</v>
      </c>
      <c r="AB94">
        <v>242331115</v>
      </c>
      <c r="AC94">
        <v>609390054.89049995</v>
      </c>
      <c r="AD94">
        <f t="shared" ref="AD94" si="283">SUM($D$94+$E$94)</f>
        <v>851721169.89049995</v>
      </c>
      <c r="AE94">
        <v>242331115</v>
      </c>
      <c r="AF94">
        <v>609390054.89049995</v>
      </c>
      <c r="AG94">
        <f t="shared" ref="AG94" si="284">SUM($D$94+$E$94)</f>
        <v>851721169.89049995</v>
      </c>
      <c r="AH94">
        <v>242331115</v>
      </c>
      <c r="AI94">
        <v>609390054.89049995</v>
      </c>
      <c r="AJ94">
        <f t="shared" ref="AJ94" si="285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>
        <v>660336269.02900004</v>
      </c>
      <c r="AP94">
        <f>SUM($AN$94+$AO$94)</f>
        <v>913707564.02900004</v>
      </c>
      <c r="AQ94">
        <v>388138385</v>
      </c>
      <c r="AR94">
        <v>1789783720.9119999</v>
      </c>
      <c r="AS94">
        <f>SUM($AQ$94+$AR$94)</f>
        <v>2177922105.9119997</v>
      </c>
      <c r="AT94">
        <v>376178625</v>
      </c>
      <c r="AU94">
        <v>1784290454.0999999</v>
      </c>
      <c r="AV94">
        <f>SUM($AT$94+$AU$94)</f>
        <v>2160469079.0999999</v>
      </c>
      <c r="AX94" s="57">
        <f t="shared" si="30"/>
        <v>-8.0136138774767884E-3</v>
      </c>
      <c r="AY94" s="57"/>
    </row>
    <row r="95" spans="2:51">
      <c r="B95" s="2" t="s">
        <v>318</v>
      </c>
      <c r="C95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6">SUM($D$95+$E$95)</f>
        <v>4092925576.6728001</v>
      </c>
      <c r="J95">
        <v>595663869</v>
      </c>
      <c r="K95">
        <v>3497261707.6728001</v>
      </c>
      <c r="L95">
        <f t="shared" ref="L95" si="287">SUM($D$95+$E$95)</f>
        <v>4092925576.6728001</v>
      </c>
      <c r="M95">
        <v>595663869</v>
      </c>
      <c r="N95">
        <v>3497261707.6728001</v>
      </c>
      <c r="O95">
        <f t="shared" ref="O95" si="288">SUM($D$95+$E$95)</f>
        <v>4092925576.6728001</v>
      </c>
      <c r="P95">
        <v>595663869</v>
      </c>
      <c r="Q95">
        <v>3497261707.6728001</v>
      </c>
      <c r="R95">
        <f t="shared" ref="R95" si="289">SUM($D$95+$E$95)</f>
        <v>4092925576.6728001</v>
      </c>
      <c r="S95">
        <v>595663869</v>
      </c>
      <c r="T95">
        <v>3497261707.6728001</v>
      </c>
      <c r="U95">
        <f t="shared" ref="U95" si="290">SUM($D$95+$E$95)</f>
        <v>4092925576.6728001</v>
      </c>
      <c r="V95">
        <v>595663869</v>
      </c>
      <c r="W95">
        <v>3497261707.6728001</v>
      </c>
      <c r="X95">
        <f t="shared" ref="X95" si="291">SUM($D$95+$E$95)</f>
        <v>4092925576.6728001</v>
      </c>
      <c r="Y95">
        <v>595663869</v>
      </c>
      <c r="Z95">
        <v>3497261707.6728001</v>
      </c>
      <c r="AA95">
        <f t="shared" ref="AA95" si="292">SUM($D$95+$E$95)</f>
        <v>4092925576.6728001</v>
      </c>
      <c r="AB95">
        <v>595663869</v>
      </c>
      <c r="AC95">
        <v>3497261707.6728001</v>
      </c>
      <c r="AD95">
        <f t="shared" ref="AD95" si="293">SUM($D$95+$E$95)</f>
        <v>4092925576.6728001</v>
      </c>
      <c r="AE95">
        <v>595663869</v>
      </c>
      <c r="AF95">
        <v>3497261707.6728001</v>
      </c>
      <c r="AG95">
        <f t="shared" ref="AG95" si="294">SUM($D$95+$E$95)</f>
        <v>4092925576.6728001</v>
      </c>
      <c r="AH95">
        <v>595663869</v>
      </c>
      <c r="AI95">
        <v>3497261707.6728001</v>
      </c>
      <c r="AJ95">
        <f t="shared" ref="AJ95" si="295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>
        <v>4532539447.6665001</v>
      </c>
      <c r="AP95">
        <f>SUM($AN$95+$AO$95)</f>
        <v>5249089830.6665001</v>
      </c>
      <c r="AQ95">
        <v>936598235</v>
      </c>
      <c r="AR95">
        <v>7575393844.3270006</v>
      </c>
      <c r="AS95">
        <f>SUM($AQ$95+$AR$95)</f>
        <v>8511992079.3270006</v>
      </c>
      <c r="AT95">
        <v>1007063939</v>
      </c>
      <c r="AU95">
        <v>8512308650.7914</v>
      </c>
      <c r="AV95">
        <f>SUM($AT$95+$AU$95)</f>
        <v>9519372589.7914009</v>
      </c>
      <c r="AX95" s="57">
        <f t="shared" si="30"/>
        <v>0.11834838438243112</v>
      </c>
      <c r="AY95" s="57"/>
    </row>
    <row r="96" spans="2:51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6">SUM($D$96+$E$96)</f>
        <v>5568389823.1664</v>
      </c>
      <c r="J96">
        <v>637378076</v>
      </c>
      <c r="K96">
        <v>4931011747.1664</v>
      </c>
      <c r="L96">
        <f t="shared" ref="L96" si="297">SUM($D$96+$E$96)</f>
        <v>5568389823.1664</v>
      </c>
      <c r="M96">
        <v>637378076</v>
      </c>
      <c r="N96">
        <v>4931011747.1664</v>
      </c>
      <c r="O96">
        <f t="shared" ref="O96" si="298">SUM($D$96+$E$96)</f>
        <v>5568389823.1664</v>
      </c>
      <c r="P96">
        <v>637378076</v>
      </c>
      <c r="Q96">
        <v>4931011747.1664</v>
      </c>
      <c r="R96">
        <f t="shared" ref="R96" si="299">SUM($D$96+$E$96)</f>
        <v>5568389823.1664</v>
      </c>
      <c r="S96">
        <v>637378076</v>
      </c>
      <c r="T96">
        <v>4931011747.1664</v>
      </c>
      <c r="U96">
        <f t="shared" ref="U96" si="300">SUM($D$96+$E$96)</f>
        <v>5568389823.1664</v>
      </c>
      <c r="V96">
        <v>637378076</v>
      </c>
      <c r="W96">
        <v>4931011747.1664</v>
      </c>
      <c r="X96">
        <f t="shared" ref="X96" si="301">SUM($D$96+$E$96)</f>
        <v>5568389823.1664</v>
      </c>
      <c r="Y96">
        <v>637378076</v>
      </c>
      <c r="Z96">
        <v>4931011747.1664</v>
      </c>
      <c r="AA96">
        <f t="shared" ref="AA96" si="302">SUM($D$96+$E$96)</f>
        <v>5568389823.1664</v>
      </c>
      <c r="AB96">
        <v>637378076</v>
      </c>
      <c r="AC96">
        <v>4931011747.1664</v>
      </c>
      <c r="AD96">
        <f t="shared" ref="AD96" si="303">SUM($D$96+$E$96)</f>
        <v>5568389823.1664</v>
      </c>
      <c r="AE96">
        <v>637378076</v>
      </c>
      <c r="AF96">
        <v>4931011747.1664</v>
      </c>
      <c r="AG96">
        <f t="shared" ref="AG96" si="304">SUM($D$96+$E$96)</f>
        <v>5568389823.1664</v>
      </c>
      <c r="AH96">
        <v>637378076</v>
      </c>
      <c r="AI96">
        <v>4931011747.1664</v>
      </c>
      <c r="AJ96">
        <f t="shared" ref="AJ96" si="305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>
        <v>5265113196.8586006</v>
      </c>
      <c r="AP96">
        <f>SUM($AN$96+$AO$96)</f>
        <v>5937146637.8586006</v>
      </c>
      <c r="AQ96">
        <v>946744416</v>
      </c>
      <c r="AR96">
        <v>8706072300.6527996</v>
      </c>
      <c r="AS96">
        <f>SUM($AQ$96+$AR$96)</f>
        <v>9652816716.6527996</v>
      </c>
      <c r="AT96">
        <v>1039051676</v>
      </c>
      <c r="AU96">
        <v>10024043233.8748</v>
      </c>
      <c r="AV96">
        <f>SUM($AT$96+$AU$96)</f>
        <v>11063094909.8748</v>
      </c>
      <c r="AX96" s="57">
        <f t="shared" si="30"/>
        <v>0.14610017310170442</v>
      </c>
      <c r="AY96" s="57"/>
    </row>
    <row r="97" spans="2:51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6">SUM($D$97+$E$97)</f>
        <v>1114514375.437</v>
      </c>
      <c r="J97">
        <v>299102135</v>
      </c>
      <c r="K97">
        <v>815412240.43700004</v>
      </c>
      <c r="L97">
        <f t="shared" ref="L97" si="307">SUM($D$97+$E$97)</f>
        <v>1114514375.437</v>
      </c>
      <c r="M97">
        <v>299102135</v>
      </c>
      <c r="N97">
        <v>815412240.43700004</v>
      </c>
      <c r="O97">
        <f t="shared" ref="O97" si="308">SUM($D$97+$E$97)</f>
        <v>1114514375.437</v>
      </c>
      <c r="P97">
        <v>299102135</v>
      </c>
      <c r="Q97">
        <v>815412240.43700004</v>
      </c>
      <c r="R97">
        <f t="shared" ref="R97" si="309">SUM($D$97+$E$97)</f>
        <v>1114514375.437</v>
      </c>
      <c r="S97">
        <v>299102135</v>
      </c>
      <c r="T97">
        <v>815412240.43700004</v>
      </c>
      <c r="U97">
        <f t="shared" ref="U97" si="310">SUM($D$97+$E$97)</f>
        <v>1114514375.437</v>
      </c>
      <c r="V97">
        <v>299102135</v>
      </c>
      <c r="W97">
        <v>815412240.43700004</v>
      </c>
      <c r="X97">
        <f t="shared" ref="X97" si="311">SUM($D$97+$E$97)</f>
        <v>1114514375.437</v>
      </c>
      <c r="Y97">
        <v>299102135</v>
      </c>
      <c r="Z97">
        <v>815412240.43700004</v>
      </c>
      <c r="AA97">
        <f t="shared" ref="AA97" si="312">SUM($D$97+$E$97)</f>
        <v>1114514375.437</v>
      </c>
      <c r="AB97">
        <v>299102135</v>
      </c>
      <c r="AC97">
        <v>815412240.43700004</v>
      </c>
      <c r="AD97">
        <f t="shared" ref="AD97" si="313">SUM($D$97+$E$97)</f>
        <v>1114514375.437</v>
      </c>
      <c r="AE97">
        <v>299102135</v>
      </c>
      <c r="AF97">
        <v>815412240.43700004</v>
      </c>
      <c r="AG97">
        <f t="shared" ref="AG97" si="314">SUM($D$97+$E$97)</f>
        <v>1114514375.437</v>
      </c>
      <c r="AH97">
        <v>299102135</v>
      </c>
      <c r="AI97">
        <v>815412240.43700004</v>
      </c>
      <c r="AJ97">
        <f t="shared" ref="AJ97" si="315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>
        <v>1549388887.0409</v>
      </c>
      <c r="AP97">
        <f>SUM($AN$97+$AO$97)</f>
        <v>1968108690.0409</v>
      </c>
      <c r="AQ97">
        <v>651675246</v>
      </c>
      <c r="AR97">
        <v>3789035382.8177996</v>
      </c>
      <c r="AS97">
        <f>SUM($AQ$97+$AR$97)</f>
        <v>4440710628.8177996</v>
      </c>
      <c r="AT97">
        <v>688818276</v>
      </c>
      <c r="AU97">
        <v>4298570451.3779993</v>
      </c>
      <c r="AV97">
        <f>SUM($AT$97+$AU$97)</f>
        <v>4987388727.3779993</v>
      </c>
      <c r="AX97" s="57">
        <f t="shared" si="30"/>
        <v>0.12310599457045357</v>
      </c>
      <c r="AY97" s="57"/>
    </row>
    <row r="98" spans="2:51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6">SUM($D$98+$E$98)</f>
        <v>1187919011.2307999</v>
      </c>
      <c r="J98">
        <v>284177554</v>
      </c>
      <c r="K98">
        <v>903741457.23079991</v>
      </c>
      <c r="L98">
        <f t="shared" ref="L98" si="317">SUM($D$98+$E$98)</f>
        <v>1187919011.2307999</v>
      </c>
      <c r="M98">
        <v>284177554</v>
      </c>
      <c r="N98">
        <v>903741457.23079991</v>
      </c>
      <c r="O98">
        <f t="shared" ref="O98" si="318">SUM($D$98+$E$98)</f>
        <v>1187919011.2307999</v>
      </c>
      <c r="P98">
        <v>284177554</v>
      </c>
      <c r="Q98">
        <v>903741457.23079991</v>
      </c>
      <c r="R98">
        <f t="shared" ref="R98" si="319">SUM($D$98+$E$98)</f>
        <v>1187919011.2307999</v>
      </c>
      <c r="S98">
        <v>284177554</v>
      </c>
      <c r="T98">
        <v>903741457.23079991</v>
      </c>
      <c r="U98">
        <f t="shared" ref="U98" si="320">SUM($D$98+$E$98)</f>
        <v>1187919011.2307999</v>
      </c>
      <c r="V98">
        <v>284177554</v>
      </c>
      <c r="W98">
        <v>903741457.23079991</v>
      </c>
      <c r="X98">
        <f t="shared" ref="X98" si="321">SUM($D$98+$E$98)</f>
        <v>1187919011.2307999</v>
      </c>
      <c r="Y98">
        <v>284177554</v>
      </c>
      <c r="Z98">
        <v>903741457.23079991</v>
      </c>
      <c r="AA98">
        <f t="shared" ref="AA98" si="322">SUM($D$98+$E$98)</f>
        <v>1187919011.2307999</v>
      </c>
      <c r="AB98">
        <v>284177554</v>
      </c>
      <c r="AC98">
        <v>903741457.23079991</v>
      </c>
      <c r="AD98">
        <f t="shared" ref="AD98" si="323">SUM($D$98+$E$98)</f>
        <v>1187919011.2307999</v>
      </c>
      <c r="AE98">
        <v>284177554</v>
      </c>
      <c r="AF98">
        <v>903741457.23079991</v>
      </c>
      <c r="AG98">
        <f t="shared" ref="AG98" si="324">SUM($D$98+$E$98)</f>
        <v>1187919011.2307999</v>
      </c>
      <c r="AH98">
        <v>284177554</v>
      </c>
      <c r="AI98">
        <v>903741457.23079991</v>
      </c>
      <c r="AJ98">
        <f t="shared" ref="AJ98" si="325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>
        <v>1120768865.8281</v>
      </c>
      <c r="AP98">
        <f>SUM($AN$98+$AO$98)</f>
        <v>1438528176.8281</v>
      </c>
      <c r="AQ98">
        <v>439238900</v>
      </c>
      <c r="AR98">
        <v>1887980563.8699999</v>
      </c>
      <c r="AS98">
        <f>SUM($AQ$98+$AR$98)</f>
        <v>2327219463.8699999</v>
      </c>
      <c r="AT98">
        <v>441449536</v>
      </c>
      <c r="AU98">
        <v>1916023421.1007998</v>
      </c>
      <c r="AV98">
        <f>SUM($AT$98+$AU$98)</f>
        <v>2357472957.1007996</v>
      </c>
      <c r="AX98" s="57">
        <f t="shared" si="30"/>
        <v>1.2999845395109455E-2</v>
      </c>
      <c r="AY98" s="57"/>
    </row>
    <row r="99" spans="2:51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6">SUM($D$99+$E$99)</f>
        <v>41919730687.695099</v>
      </c>
      <c r="J99">
        <v>2891434669</v>
      </c>
      <c r="K99">
        <v>39028296018.695099</v>
      </c>
      <c r="L99">
        <f t="shared" ref="L99" si="327">SUM($D$99+$E$99)</f>
        <v>41919730687.695099</v>
      </c>
      <c r="M99">
        <v>2891434669</v>
      </c>
      <c r="N99">
        <v>39028296018.695099</v>
      </c>
      <c r="O99">
        <f t="shared" ref="O99" si="328">SUM($D$99+$E$99)</f>
        <v>41919730687.695099</v>
      </c>
      <c r="P99">
        <v>2891434669</v>
      </c>
      <c r="Q99">
        <v>39028296018.695099</v>
      </c>
      <c r="R99">
        <f t="shared" ref="R99" si="329">SUM($D$99+$E$99)</f>
        <v>41919730687.695099</v>
      </c>
      <c r="S99">
        <v>2891434669</v>
      </c>
      <c r="T99">
        <v>39028296018.695099</v>
      </c>
      <c r="U99">
        <f t="shared" ref="U99" si="330">SUM($D$99+$E$99)</f>
        <v>41919730687.695099</v>
      </c>
      <c r="V99">
        <v>2891434669</v>
      </c>
      <c r="W99">
        <v>39028296018.695099</v>
      </c>
      <c r="X99">
        <f t="shared" ref="X99" si="331">SUM($D$99+$E$99)</f>
        <v>41919730687.695099</v>
      </c>
      <c r="Y99">
        <v>2891434669</v>
      </c>
      <c r="Z99">
        <v>39028296018.695099</v>
      </c>
      <c r="AA99">
        <f t="shared" ref="AA99" si="332">SUM($D$99+$E$99)</f>
        <v>41919730687.695099</v>
      </c>
      <c r="AB99">
        <v>2891434669</v>
      </c>
      <c r="AC99">
        <v>39028296018.695099</v>
      </c>
      <c r="AD99">
        <f t="shared" ref="AD99" si="333">SUM($D$99+$E$99)</f>
        <v>41919730687.695099</v>
      </c>
      <c r="AE99">
        <v>2891434669</v>
      </c>
      <c r="AF99">
        <v>39028296018.695099</v>
      </c>
      <c r="AG99">
        <f t="shared" ref="AG99" si="334">SUM($D$99+$E$99)</f>
        <v>41919730687.695099</v>
      </c>
      <c r="AH99">
        <v>2891434669</v>
      </c>
      <c r="AI99">
        <v>39028296018.695099</v>
      </c>
      <c r="AJ99">
        <f t="shared" ref="AJ99" si="335">SUM($D$99+$E$99)</f>
        <v>41919730687.695099</v>
      </c>
      <c r="AK99">
        <v>2891434669</v>
      </c>
      <c r="AL99">
        <v>39028296018.695099</v>
      </c>
      <c r="AM99">
        <f t="shared" ref="AM99" si="336">SUM($D$99+$E$99)</f>
        <v>41919730687.695099</v>
      </c>
      <c r="AN99">
        <v>2990942484</v>
      </c>
      <c r="AO99">
        <v>42042183026.346001</v>
      </c>
      <c r="AP99">
        <f>SUM($AN$99+$AO$99)</f>
        <v>45033125510.346001</v>
      </c>
      <c r="AQ99">
        <v>3725858224</v>
      </c>
      <c r="AR99">
        <v>62111546937.369598</v>
      </c>
      <c r="AS99">
        <f>SUM($AQ$99+$AR$99)</f>
        <v>65837405161.369598</v>
      </c>
      <c r="AT99">
        <v>3908718844</v>
      </c>
      <c r="AU99">
        <v>65931096844.938797</v>
      </c>
      <c r="AV99">
        <f>SUM($AT$99+$AU$99)</f>
        <v>69839815688.938797</v>
      </c>
      <c r="AX99" s="57">
        <f t="shared" si="30"/>
        <v>6.0792349239146892E-2</v>
      </c>
      <c r="AY99" s="57"/>
    </row>
    <row r="100" spans="2:51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7">SUM($D$100+$E$100)</f>
        <v>112516242.53040001</v>
      </c>
      <c r="J100">
        <v>63041373</v>
      </c>
      <c r="K100">
        <v>49474869.530400001</v>
      </c>
      <c r="L100">
        <f t="shared" ref="L100" si="338">SUM($D$100+$E$100)</f>
        <v>112516242.53040001</v>
      </c>
      <c r="M100">
        <v>63041373</v>
      </c>
      <c r="N100">
        <v>49474869.530400001</v>
      </c>
      <c r="O100">
        <f t="shared" ref="O100" si="339">SUM($D$100+$E$100)</f>
        <v>112516242.53040001</v>
      </c>
      <c r="P100">
        <v>63041373</v>
      </c>
      <c r="Q100">
        <v>49474869.530400001</v>
      </c>
      <c r="R100">
        <f t="shared" ref="R100" si="340">SUM($D$100+$E$100)</f>
        <v>112516242.53040001</v>
      </c>
      <c r="S100">
        <v>63041373</v>
      </c>
      <c r="T100">
        <v>49474869.530400001</v>
      </c>
      <c r="U100">
        <f t="shared" ref="U100" si="341">SUM($D$100+$E$100)</f>
        <v>112516242.53040001</v>
      </c>
      <c r="V100">
        <v>63041373</v>
      </c>
      <c r="W100">
        <v>49474869.530400001</v>
      </c>
      <c r="X100">
        <f t="shared" ref="X100" si="342">SUM($D$100+$E$100)</f>
        <v>112516242.53040001</v>
      </c>
      <c r="Y100">
        <v>63041373</v>
      </c>
      <c r="Z100">
        <v>49474869.530400001</v>
      </c>
      <c r="AA100">
        <f t="shared" ref="AA100" si="343">SUM($D$100+$E$100)</f>
        <v>112516242.53040001</v>
      </c>
      <c r="AB100">
        <v>63041373</v>
      </c>
      <c r="AC100">
        <v>49474869.530400001</v>
      </c>
      <c r="AD100">
        <f t="shared" ref="AD100" si="344">SUM($D$100+$E$100)</f>
        <v>112516242.53040001</v>
      </c>
      <c r="AE100">
        <v>63041373</v>
      </c>
      <c r="AF100">
        <v>49474869.530400001</v>
      </c>
      <c r="AG100">
        <f t="shared" ref="AG100" si="345">SUM($D$100+$E$100)</f>
        <v>112516242.53040001</v>
      </c>
      <c r="AH100">
        <v>63041373</v>
      </c>
      <c r="AI100">
        <v>49474869.530400001</v>
      </c>
      <c r="AJ100">
        <f t="shared" ref="AJ100" si="346">SUM($D$100+$E$100)</f>
        <v>112516242.53040001</v>
      </c>
      <c r="AK100">
        <v>63041373</v>
      </c>
      <c r="AL100">
        <v>49474869.530400001</v>
      </c>
      <c r="AM100">
        <f t="shared" ref="AM100" si="347">SUM($D$100+$E$100)</f>
        <v>112516242.53040001</v>
      </c>
      <c r="AN100">
        <v>87746263</v>
      </c>
      <c r="AO100">
        <v>93993796.925600007</v>
      </c>
      <c r="AP100">
        <f>SUM($AN$100+$AO$100)</f>
        <v>181740059.92559999</v>
      </c>
      <c r="AQ100">
        <v>203453931</v>
      </c>
      <c r="AR100">
        <v>588877057.88639998</v>
      </c>
      <c r="AS100">
        <f>SUM($AQ$100+$AR$100)</f>
        <v>792330988.88639998</v>
      </c>
      <c r="AT100">
        <v>221789001</v>
      </c>
      <c r="AU100">
        <v>703514711.17199993</v>
      </c>
      <c r="AV100">
        <f>SUM($AT$100+$AU$100)</f>
        <v>925303712.17199993</v>
      </c>
      <c r="AX100" s="57">
        <f t="shared" si="30"/>
        <v>0.16782471612335836</v>
      </c>
      <c r="AY100" s="57"/>
    </row>
    <row r="101" spans="2:51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8">SUM($D$101+$E$101)</f>
        <v>1729745221.1354001</v>
      </c>
      <c r="J101">
        <v>381623179</v>
      </c>
      <c r="K101">
        <v>1348122042.1354001</v>
      </c>
      <c r="L101">
        <f t="shared" ref="L101" si="349">SUM($D$101+$E$101)</f>
        <v>1729745221.1354001</v>
      </c>
      <c r="M101">
        <v>381623179</v>
      </c>
      <c r="N101">
        <v>1348122042.1354001</v>
      </c>
      <c r="O101">
        <f t="shared" ref="O101" si="350">SUM($D$101+$E$101)</f>
        <v>1729745221.1354001</v>
      </c>
      <c r="P101">
        <v>381623179</v>
      </c>
      <c r="Q101">
        <v>1348122042.1354001</v>
      </c>
      <c r="R101">
        <f t="shared" ref="R101" si="351">SUM($D$101+$E$101)</f>
        <v>1729745221.1354001</v>
      </c>
      <c r="S101">
        <v>381623179</v>
      </c>
      <c r="T101">
        <v>1348122042.1354001</v>
      </c>
      <c r="U101">
        <f t="shared" ref="U101" si="352">SUM($D$101+$E$101)</f>
        <v>1729745221.1354001</v>
      </c>
      <c r="V101">
        <v>381623179</v>
      </c>
      <c r="W101">
        <v>1348122042.1354001</v>
      </c>
      <c r="X101">
        <f t="shared" ref="X101" si="353">SUM($D$101+$E$101)</f>
        <v>1729745221.1354001</v>
      </c>
      <c r="Y101">
        <v>381623179</v>
      </c>
      <c r="Z101">
        <v>1348122042.1354001</v>
      </c>
      <c r="AA101">
        <f t="shared" ref="AA101" si="354">SUM($D$101+$E$101)</f>
        <v>1729745221.1354001</v>
      </c>
      <c r="AB101">
        <v>381623179</v>
      </c>
      <c r="AC101">
        <v>1348122042.1354001</v>
      </c>
      <c r="AD101">
        <f t="shared" ref="AD101" si="355">SUM($D$101+$E$101)</f>
        <v>1729745221.1354001</v>
      </c>
      <c r="AE101">
        <v>381623179</v>
      </c>
      <c r="AF101">
        <v>1348122042.1354001</v>
      </c>
      <c r="AG101">
        <f t="shared" ref="AG101" si="356">SUM($D$101+$E$101)</f>
        <v>1729745221.1354001</v>
      </c>
      <c r="AH101">
        <v>381623179</v>
      </c>
      <c r="AI101">
        <v>1348122042.1354001</v>
      </c>
      <c r="AJ101">
        <f t="shared" ref="AJ101" si="357">SUM($D$101+$E$101)</f>
        <v>1729745221.1354001</v>
      </c>
      <c r="AK101">
        <v>381623179</v>
      </c>
      <c r="AL101">
        <v>1348122042.1354001</v>
      </c>
      <c r="AM101">
        <f t="shared" ref="AM101" si="358">SUM($D$101+$E$101)</f>
        <v>1729745221.1354001</v>
      </c>
      <c r="AN101">
        <v>388257705</v>
      </c>
      <c r="AO101">
        <v>1409064862.9860001</v>
      </c>
      <c r="AP101">
        <f>SUM($AN$101+$AO$101)</f>
        <v>1797322567.9860001</v>
      </c>
      <c r="AQ101">
        <v>523773745</v>
      </c>
      <c r="AR101">
        <v>2404907150.1675</v>
      </c>
      <c r="AS101">
        <f>SUM($AQ$101+$AR$101)</f>
        <v>2928680895.1675</v>
      </c>
      <c r="AT101">
        <v>553410215</v>
      </c>
      <c r="AU101">
        <v>2668045987.5365</v>
      </c>
      <c r="AV101">
        <f>SUM($AT$101+$AU$101)</f>
        <v>3221456202.5365</v>
      </c>
      <c r="AX101" s="57">
        <f t="shared" si="30"/>
        <v>9.9968319475193468E-2</v>
      </c>
      <c r="AY101" s="57"/>
    </row>
    <row r="102" spans="2:51">
      <c r="B102" s="2" t="s">
        <v>349</v>
      </c>
      <c r="C10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9">SUM($D$102+$E$102)</f>
        <v>149976853.0086</v>
      </c>
      <c r="J102">
        <v>64152987</v>
      </c>
      <c r="K102">
        <v>85823866.008599997</v>
      </c>
      <c r="L102">
        <f t="shared" ref="L102" si="360">SUM($D$102+$E$102)</f>
        <v>149976853.0086</v>
      </c>
      <c r="M102">
        <v>64152987</v>
      </c>
      <c r="N102">
        <v>85823866.008599997</v>
      </c>
      <c r="O102">
        <f t="shared" ref="O102" si="361">SUM($D$102+$E$102)</f>
        <v>149976853.0086</v>
      </c>
      <c r="P102">
        <v>64152987</v>
      </c>
      <c r="Q102">
        <v>85823866.008599997</v>
      </c>
      <c r="R102">
        <f t="shared" ref="R102" si="362">SUM($D$102+$E$102)</f>
        <v>149976853.0086</v>
      </c>
      <c r="S102">
        <v>64152987</v>
      </c>
      <c r="T102">
        <v>85823866.008599997</v>
      </c>
      <c r="U102">
        <f t="shared" ref="U102" si="363">SUM($D$102+$E$102)</f>
        <v>149976853.0086</v>
      </c>
      <c r="V102">
        <v>64152987</v>
      </c>
      <c r="W102">
        <v>85823866.008599997</v>
      </c>
      <c r="X102">
        <f t="shared" ref="X102" si="364">SUM($D$102+$E$102)</f>
        <v>149976853.0086</v>
      </c>
      <c r="Y102">
        <v>64152987</v>
      </c>
      <c r="Z102">
        <v>85823866.008599997</v>
      </c>
      <c r="AA102">
        <f t="shared" ref="AA102" si="365">SUM($D$102+$E$102)</f>
        <v>149976853.0086</v>
      </c>
      <c r="AB102">
        <v>64152987</v>
      </c>
      <c r="AC102">
        <v>85823866.008599997</v>
      </c>
      <c r="AD102">
        <f t="shared" ref="AD102" si="366">SUM($D$102+$E$102)</f>
        <v>149976853.0086</v>
      </c>
      <c r="AE102">
        <v>64152987</v>
      </c>
      <c r="AF102">
        <v>85823866.008599997</v>
      </c>
      <c r="AG102">
        <f t="shared" ref="AG102" si="367">SUM($D$102+$E$102)</f>
        <v>149976853.0086</v>
      </c>
      <c r="AH102">
        <v>64152987</v>
      </c>
      <c r="AI102">
        <v>85823866.008599997</v>
      </c>
      <c r="AJ102">
        <f t="shared" ref="AJ102" si="368">SUM($D$102+$E$102)</f>
        <v>149976853.0086</v>
      </c>
      <c r="AK102">
        <v>64152987</v>
      </c>
      <c r="AL102">
        <v>85823866.008599997</v>
      </c>
      <c r="AM102">
        <f t="shared" ref="AM102" si="369">SUM($D$102+$E$102)</f>
        <v>149976853.0086</v>
      </c>
      <c r="AN102">
        <v>66663262</v>
      </c>
      <c r="AO102">
        <v>92961918.858999997</v>
      </c>
      <c r="AP102">
        <f>SUM($AN$102+$AO$102)</f>
        <v>159625180.859</v>
      </c>
      <c r="AQ102">
        <v>201422257</v>
      </c>
      <c r="AR102">
        <v>613834328.20749998</v>
      </c>
      <c r="AS102">
        <f>SUM($AQ$102+$AR$102)</f>
        <v>815256585.20749998</v>
      </c>
      <c r="AT102">
        <v>220872499</v>
      </c>
      <c r="AU102">
        <v>811441386.82620001</v>
      </c>
      <c r="AV102">
        <f>SUM($AT$102+$AU$102)</f>
        <v>1032313885.8262</v>
      </c>
      <c r="AX102" s="57">
        <f t="shared" si="30"/>
        <v>0.26624415497785203</v>
      </c>
      <c r="AY102" s="57"/>
    </row>
    <row r="103" spans="2:51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70">SUM($D$103+$E$103)</f>
        <v>1374863052.1763999</v>
      </c>
      <c r="J103">
        <v>290521311</v>
      </c>
      <c r="K103">
        <v>1084341741.1763999</v>
      </c>
      <c r="L103">
        <f t="shared" ref="L103" si="371">SUM($D$103+$E$103)</f>
        <v>1374863052.1763999</v>
      </c>
      <c r="M103">
        <v>290521311</v>
      </c>
      <c r="N103">
        <v>1084341741.1763999</v>
      </c>
      <c r="O103">
        <f t="shared" ref="O103" si="372">SUM($D$103+$E$103)</f>
        <v>1374863052.1763999</v>
      </c>
      <c r="P103">
        <v>290521311</v>
      </c>
      <c r="Q103">
        <v>1084341741.1763999</v>
      </c>
      <c r="R103">
        <f t="shared" ref="R103" si="373">SUM($D$103+$E$103)</f>
        <v>1374863052.1763999</v>
      </c>
      <c r="S103">
        <v>290521311</v>
      </c>
      <c r="T103">
        <v>1084341741.1763999</v>
      </c>
      <c r="U103">
        <f t="shared" ref="U103" si="374">SUM($D$103+$E$103)</f>
        <v>1374863052.1763999</v>
      </c>
      <c r="V103">
        <v>290521311</v>
      </c>
      <c r="W103">
        <v>1084341741.1763999</v>
      </c>
      <c r="X103">
        <f t="shared" ref="X103" si="375">SUM($D$103+$E$103)</f>
        <v>1374863052.1763999</v>
      </c>
      <c r="Y103">
        <v>290521311</v>
      </c>
      <c r="Z103">
        <v>1084341741.1763999</v>
      </c>
      <c r="AA103">
        <f t="shared" ref="AA103" si="376">SUM($D$103+$E$103)</f>
        <v>1374863052.1763999</v>
      </c>
      <c r="AB103">
        <v>290521311</v>
      </c>
      <c r="AC103">
        <v>1084341741.1763999</v>
      </c>
      <c r="AD103">
        <f t="shared" ref="AD103" si="377">SUM($D$103+$E$103)</f>
        <v>1374863052.1763999</v>
      </c>
      <c r="AE103">
        <v>290521311</v>
      </c>
      <c r="AF103">
        <v>1084341741.1763999</v>
      </c>
      <c r="AG103">
        <f t="shared" ref="AG103" si="378">SUM($D$103+$E$103)</f>
        <v>1374863052.1763999</v>
      </c>
      <c r="AH103">
        <v>290521311</v>
      </c>
      <c r="AI103">
        <v>1084341741.1763999</v>
      </c>
      <c r="AJ103">
        <f t="shared" ref="AJ103" si="379">SUM($D$103+$E$103)</f>
        <v>1374863052.1763999</v>
      </c>
      <c r="AK103">
        <v>290521311</v>
      </c>
      <c r="AL103">
        <v>1084341741.1763999</v>
      </c>
      <c r="AM103">
        <f t="shared" ref="AM103" si="380">SUM($D$103+$E$103)</f>
        <v>1374863052.1763999</v>
      </c>
      <c r="AN103">
        <v>306003696</v>
      </c>
      <c r="AO103">
        <v>1166180085.4560001</v>
      </c>
      <c r="AP103">
        <f>SUM($AN$103+$AO$103)</f>
        <v>1472183781.4560001</v>
      </c>
      <c r="AQ103">
        <v>469534279</v>
      </c>
      <c r="AR103">
        <v>2540086542.5342002</v>
      </c>
      <c r="AS103">
        <f>SUM($AQ$103+$AR$103)</f>
        <v>3009620821.5342002</v>
      </c>
      <c r="AT103">
        <v>496552234</v>
      </c>
      <c r="AU103">
        <v>2782033201.4317999</v>
      </c>
      <c r="AV103">
        <f>SUM($AT$103+$AU$103)</f>
        <v>3278585435.4317999</v>
      </c>
      <c r="AX103" s="57">
        <f t="shared" si="30"/>
        <v>8.9368272565475859E-2</v>
      </c>
      <c r="AY103" s="57"/>
    </row>
    <row r="104" spans="2:51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81">SUM($D$104+$E$104)</f>
        <v>6828941088.5012999</v>
      </c>
      <c r="J104">
        <v>791110053</v>
      </c>
      <c r="K104">
        <v>6037831035.5012999</v>
      </c>
      <c r="L104">
        <f t="shared" ref="L104" si="382">SUM($D$104+$E$104)</f>
        <v>6828941088.5012999</v>
      </c>
      <c r="M104">
        <v>791110053</v>
      </c>
      <c r="N104">
        <v>6037831035.5012999</v>
      </c>
      <c r="O104">
        <f t="shared" ref="O104" si="383">SUM($D$104+$E$104)</f>
        <v>6828941088.5012999</v>
      </c>
      <c r="P104">
        <v>791110053</v>
      </c>
      <c r="Q104">
        <v>6037831035.5012999</v>
      </c>
      <c r="R104">
        <f t="shared" ref="R104" si="384">SUM($D$104+$E$104)</f>
        <v>6828941088.5012999</v>
      </c>
      <c r="S104">
        <v>791110053</v>
      </c>
      <c r="T104">
        <v>6037831035.5012999</v>
      </c>
      <c r="U104">
        <f t="shared" ref="U104" si="385">SUM($D$104+$E$104)</f>
        <v>6828941088.5012999</v>
      </c>
      <c r="V104">
        <v>791110053</v>
      </c>
      <c r="W104">
        <v>6037831035.5012999</v>
      </c>
      <c r="X104">
        <f t="shared" ref="X104" si="386">SUM($D$104+$E$104)</f>
        <v>6828941088.5012999</v>
      </c>
      <c r="Y104">
        <v>791110053</v>
      </c>
      <c r="Z104">
        <v>6037831035.5012999</v>
      </c>
      <c r="AA104">
        <f t="shared" ref="AA104" si="387">SUM($D$104+$E$104)</f>
        <v>6828941088.5012999</v>
      </c>
      <c r="AB104">
        <v>791110053</v>
      </c>
      <c r="AC104">
        <v>6037831035.5012999</v>
      </c>
      <c r="AD104">
        <f t="shared" ref="AD104" si="388">SUM($D$104+$E$104)</f>
        <v>6828941088.5012999</v>
      </c>
      <c r="AE104">
        <v>791110053</v>
      </c>
      <c r="AF104">
        <v>6037831035.5012999</v>
      </c>
      <c r="AG104">
        <f t="shared" ref="AG104" si="389">SUM($D$104+$E$104)</f>
        <v>6828941088.5012999</v>
      </c>
      <c r="AH104">
        <v>791110053</v>
      </c>
      <c r="AI104">
        <v>6037831035.5012999</v>
      </c>
      <c r="AJ104">
        <f t="shared" ref="AJ104" si="390">SUM($D$104+$E$104)</f>
        <v>6828941088.5012999</v>
      </c>
      <c r="AK104">
        <v>791110053</v>
      </c>
      <c r="AL104">
        <v>6037831035.5012999</v>
      </c>
      <c r="AM104">
        <f t="shared" ref="AM104" si="391">SUM($D$104+$E$104)</f>
        <v>6828941088.5012999</v>
      </c>
      <c r="AN104">
        <v>822104208</v>
      </c>
      <c r="AO104">
        <v>6300031177.1664</v>
      </c>
      <c r="AP104">
        <f>SUM($AN$104+$AO$104)</f>
        <v>7122135385.1664</v>
      </c>
      <c r="AQ104">
        <v>1134442188</v>
      </c>
      <c r="AR104">
        <v>11004089223.6</v>
      </c>
      <c r="AS104">
        <f>SUM($AQ$104+$AR$104)</f>
        <v>12138531411.6</v>
      </c>
      <c r="AT104">
        <v>1210383983</v>
      </c>
      <c r="AU104">
        <v>12080479419.128101</v>
      </c>
      <c r="AV104">
        <f>SUM($AT$104+$AU$104)</f>
        <v>13290863402.128101</v>
      </c>
      <c r="AX104" s="57">
        <f t="shared" si="30"/>
        <v>9.493174680315053E-2</v>
      </c>
      <c r="AY104" s="57"/>
    </row>
    <row r="105" spans="2:51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2">SUM($D$105+$E$105)</f>
        <v>19462011297.799198</v>
      </c>
      <c r="J105">
        <v>1565326006</v>
      </c>
      <c r="K105">
        <v>17896685291.799198</v>
      </c>
      <c r="L105">
        <f t="shared" ref="L105" si="393">SUM($D$105+$E$105)</f>
        <v>19462011297.799198</v>
      </c>
      <c r="M105">
        <v>1565326006</v>
      </c>
      <c r="N105">
        <v>17896685291.799198</v>
      </c>
      <c r="O105">
        <f t="shared" ref="O105" si="394">SUM($D$105+$E$105)</f>
        <v>19462011297.799198</v>
      </c>
      <c r="P105">
        <v>1565326006</v>
      </c>
      <c r="Q105">
        <v>17896685291.799198</v>
      </c>
      <c r="R105">
        <f t="shared" ref="R105" si="395">SUM($D$105+$E$105)</f>
        <v>19462011297.799198</v>
      </c>
      <c r="S105">
        <v>1565326006</v>
      </c>
      <c r="T105">
        <v>17896685291.799198</v>
      </c>
      <c r="U105">
        <f t="shared" ref="U105" si="396">SUM($D$105+$E$105)</f>
        <v>19462011297.799198</v>
      </c>
      <c r="V105">
        <v>1565326006</v>
      </c>
      <c r="W105">
        <v>17896685291.799198</v>
      </c>
      <c r="X105">
        <f t="shared" ref="X105" si="397">SUM($D$105+$E$105)</f>
        <v>19462011297.799198</v>
      </c>
      <c r="Y105">
        <v>1565326006</v>
      </c>
      <c r="Z105">
        <v>17896685291.799198</v>
      </c>
      <c r="AA105">
        <f t="shared" ref="AA105" si="398">SUM($D$105+$E$105)</f>
        <v>19462011297.799198</v>
      </c>
      <c r="AB105">
        <v>1565326006</v>
      </c>
      <c r="AC105">
        <v>17896685291.799198</v>
      </c>
      <c r="AD105">
        <f t="shared" ref="AD105" si="399">SUM($D$105+$E$105)</f>
        <v>19462011297.799198</v>
      </c>
      <c r="AE105">
        <v>1565326006</v>
      </c>
      <c r="AF105">
        <v>17896685291.799198</v>
      </c>
      <c r="AG105">
        <f t="shared" ref="AG105" si="400">SUM($D$105+$E$105)</f>
        <v>19462011297.799198</v>
      </c>
      <c r="AH105">
        <v>1565326006</v>
      </c>
      <c r="AI105">
        <v>17896685291.799198</v>
      </c>
      <c r="AJ105">
        <f t="shared" ref="AJ105" si="401">SUM($D$105+$E$105)</f>
        <v>19462011297.799198</v>
      </c>
      <c r="AK105">
        <v>1565326006</v>
      </c>
      <c r="AL105">
        <v>17896685291.799198</v>
      </c>
      <c r="AM105">
        <f t="shared" ref="AM105" si="402">SUM($D$105+$E$105)</f>
        <v>19462011297.799198</v>
      </c>
      <c r="AN105">
        <v>1601996006</v>
      </c>
      <c r="AO105">
        <v>18492160296.459198</v>
      </c>
      <c r="AP105">
        <f>SUM($AN$105+$AO$105)</f>
        <v>20094156302.459198</v>
      </c>
      <c r="AQ105">
        <v>2226005793</v>
      </c>
      <c r="AR105">
        <v>32428007191.2654</v>
      </c>
      <c r="AS105">
        <f>SUM($AQ$105+$AR$105)</f>
        <v>34654012984.265396</v>
      </c>
      <c r="AT105">
        <v>2295462023</v>
      </c>
      <c r="AU105">
        <v>34453966780.420799</v>
      </c>
      <c r="AV105">
        <f>SUM($AT$105+$AU$105)</f>
        <v>36749428803.420799</v>
      </c>
      <c r="AX105" s="57">
        <f t="shared" si="30"/>
        <v>6.0466758066571424E-2</v>
      </c>
      <c r="AY105" s="57"/>
    </row>
    <row r="106" spans="2:51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3">SUM($D$106+$E$106)</f>
        <v>6090599667.7950001</v>
      </c>
      <c r="J106">
        <v>718442898</v>
      </c>
      <c r="K106">
        <v>5372156769.7950001</v>
      </c>
      <c r="L106">
        <f t="shared" ref="L106" si="404">SUM($D$106+$E$106)</f>
        <v>6090599667.7950001</v>
      </c>
      <c r="M106">
        <v>718442898</v>
      </c>
      <c r="N106">
        <v>5372156769.7950001</v>
      </c>
      <c r="O106">
        <f t="shared" ref="O106" si="405">SUM($D$106+$E$106)</f>
        <v>6090599667.7950001</v>
      </c>
      <c r="P106">
        <v>718442898</v>
      </c>
      <c r="Q106">
        <v>5372156769.7950001</v>
      </c>
      <c r="R106">
        <f t="shared" ref="R106" si="406">SUM($D$106+$E$106)</f>
        <v>6090599667.7950001</v>
      </c>
      <c r="S106">
        <v>718442898</v>
      </c>
      <c r="T106">
        <v>5372156769.7950001</v>
      </c>
      <c r="U106">
        <f t="shared" ref="U106" si="407">SUM($D$106+$E$106)</f>
        <v>6090599667.7950001</v>
      </c>
      <c r="V106">
        <v>718442898</v>
      </c>
      <c r="W106">
        <v>5372156769.7950001</v>
      </c>
      <c r="X106">
        <f t="shared" ref="X106" si="408">SUM($D$106+$E$106)</f>
        <v>6090599667.7950001</v>
      </c>
      <c r="Y106">
        <v>718442898</v>
      </c>
      <c r="Z106">
        <v>5372156769.7950001</v>
      </c>
      <c r="AA106">
        <f t="shared" ref="AA106" si="409">SUM($D$106+$E$106)</f>
        <v>6090599667.7950001</v>
      </c>
      <c r="AB106">
        <v>718442898</v>
      </c>
      <c r="AC106">
        <v>5372156769.7950001</v>
      </c>
      <c r="AD106">
        <f t="shared" ref="AD106" si="410">SUM($D$106+$E$106)</f>
        <v>6090599667.7950001</v>
      </c>
      <c r="AE106">
        <v>718442898</v>
      </c>
      <c r="AF106">
        <v>5372156769.7950001</v>
      </c>
      <c r="AG106">
        <f t="shared" ref="AG106" si="411">SUM($D$106+$E$106)</f>
        <v>6090599667.7950001</v>
      </c>
      <c r="AH106">
        <v>718442898</v>
      </c>
      <c r="AI106">
        <v>5372156769.7950001</v>
      </c>
      <c r="AJ106">
        <f t="shared" ref="AJ106" si="412">SUM($D$106+$E$106)</f>
        <v>6090599667.7950001</v>
      </c>
      <c r="AK106">
        <v>718442898</v>
      </c>
      <c r="AL106">
        <v>5372156769.7950001</v>
      </c>
      <c r="AM106">
        <f t="shared" ref="AM106" si="413">SUM($D$106+$E$106)</f>
        <v>6090599667.7950001</v>
      </c>
      <c r="AN106">
        <v>710122898</v>
      </c>
      <c r="AO106">
        <v>5246032908.9750004</v>
      </c>
      <c r="AP106">
        <f>SUM($AN$106+$AO$106)</f>
        <v>5956155806.9750004</v>
      </c>
      <c r="AQ106">
        <v>1008745284</v>
      </c>
      <c r="AR106">
        <v>9178976837.2296009</v>
      </c>
      <c r="AS106">
        <f>SUM($AQ$106+$AR$106)</f>
        <v>10187722121.229601</v>
      </c>
      <c r="AT106">
        <v>1081167769</v>
      </c>
      <c r="AU106">
        <v>10096701444.3603</v>
      </c>
      <c r="AV106">
        <f>SUM($AT$106+$AU$106)</f>
        <v>11177869213.3603</v>
      </c>
      <c r="AX106" s="57">
        <f t="shared" si="30"/>
        <v>9.7190233532910009E-2</v>
      </c>
      <c r="AY106" s="57"/>
    </row>
    <row r="107" spans="2:51">
      <c r="B107" t="s">
        <v>358</v>
      </c>
      <c r="C107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4">SUM($D$107+$E$107)</f>
        <v>1546164700.4895999</v>
      </c>
      <c r="J107">
        <v>313693664</v>
      </c>
      <c r="K107">
        <v>1232471036.4895999</v>
      </c>
      <c r="L107">
        <f t="shared" ref="L107" si="415">SUM($D$107+$E$107)</f>
        <v>1546164700.4895999</v>
      </c>
      <c r="M107">
        <v>313693664</v>
      </c>
      <c r="N107">
        <v>1232471036.4895999</v>
      </c>
      <c r="O107">
        <f t="shared" ref="O107" si="416">SUM($D$107+$E$107)</f>
        <v>1546164700.4895999</v>
      </c>
      <c r="P107">
        <v>313693664</v>
      </c>
      <c r="Q107">
        <v>1232471036.4895999</v>
      </c>
      <c r="R107">
        <f t="shared" ref="R107" si="417">SUM($D$107+$E$107)</f>
        <v>1546164700.4895999</v>
      </c>
      <c r="S107">
        <v>313693664</v>
      </c>
      <c r="T107">
        <v>1232471036.4895999</v>
      </c>
      <c r="U107">
        <f t="shared" ref="U107" si="418">SUM($D$107+$E$107)</f>
        <v>1546164700.4895999</v>
      </c>
      <c r="V107">
        <v>313693664</v>
      </c>
      <c r="W107">
        <v>1232471036.4895999</v>
      </c>
      <c r="X107">
        <f t="shared" ref="X107" si="419">SUM($D$107+$E$107)</f>
        <v>1546164700.4895999</v>
      </c>
      <c r="Y107">
        <v>313693664</v>
      </c>
      <c r="Z107">
        <v>1232471036.4895999</v>
      </c>
      <c r="AA107">
        <f t="shared" ref="AA107" si="420">SUM($D$107+$E$107)</f>
        <v>1546164700.4895999</v>
      </c>
      <c r="AB107">
        <v>313693664</v>
      </c>
      <c r="AC107">
        <v>1232471036.4895999</v>
      </c>
      <c r="AD107">
        <f t="shared" ref="AD107" si="421">SUM($D$107+$E$107)</f>
        <v>1546164700.4895999</v>
      </c>
      <c r="AE107">
        <v>313693664</v>
      </c>
      <c r="AF107">
        <v>1232471036.4895999</v>
      </c>
      <c r="AG107">
        <f t="shared" ref="AG107" si="422">SUM($D$107+$E$107)</f>
        <v>1546164700.4895999</v>
      </c>
      <c r="AH107">
        <v>313693664</v>
      </c>
      <c r="AI107">
        <v>1232471036.4895999</v>
      </c>
      <c r="AJ107">
        <f t="shared" ref="AJ107" si="423">SUM($D$107+$E$107)</f>
        <v>1546164700.4895999</v>
      </c>
      <c r="AK107">
        <v>313693664</v>
      </c>
      <c r="AL107">
        <v>1232471036.4895999</v>
      </c>
      <c r="AM107">
        <f t="shared" ref="AM107" si="424">SUM($D$107+$E$107)</f>
        <v>1546164700.4895999</v>
      </c>
      <c r="AN107">
        <v>305366599</v>
      </c>
      <c r="AO107">
        <v>1185066697.3992</v>
      </c>
      <c r="AP107">
        <f>SUM($AN$107+$AO$107)</f>
        <v>1490433296.3992</v>
      </c>
      <c r="AQ107">
        <v>476285686</v>
      </c>
      <c r="AR107">
        <v>2612569873.4158001</v>
      </c>
      <c r="AS107">
        <f>SUM($AQ$107+$AR$107)</f>
        <v>3088855559.4158001</v>
      </c>
      <c r="AT107">
        <v>521048090</v>
      </c>
      <c r="AU107">
        <v>2974611441.0009999</v>
      </c>
      <c r="AV107">
        <f>SUM($AT$107+$AU$107)</f>
        <v>3495659531.0009999</v>
      </c>
      <c r="AX107" s="57">
        <f t="shared" si="30"/>
        <v>0.13170054855596391</v>
      </c>
      <c r="AY107" s="57"/>
    </row>
    <row r="108" spans="2:51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5">SUM($D$108+$E$108)</f>
        <v>566589395.04290009</v>
      </c>
      <c r="J108">
        <v>186925339</v>
      </c>
      <c r="K108">
        <v>379664056.04290003</v>
      </c>
      <c r="L108">
        <f t="shared" ref="L108" si="426">SUM($D$108+$E$108)</f>
        <v>566589395.04290009</v>
      </c>
      <c r="M108">
        <v>186925339</v>
      </c>
      <c r="N108">
        <v>379664056.04290003</v>
      </c>
      <c r="O108">
        <f t="shared" ref="O108" si="427">SUM($D$108+$E$108)</f>
        <v>566589395.04290009</v>
      </c>
      <c r="P108">
        <v>186925339</v>
      </c>
      <c r="Q108">
        <v>379664056.04290003</v>
      </c>
      <c r="R108">
        <f t="shared" ref="R108" si="428">SUM($D$108+$E$108)</f>
        <v>566589395.04290009</v>
      </c>
      <c r="S108">
        <v>186925339</v>
      </c>
      <c r="T108">
        <v>379664056.04290003</v>
      </c>
      <c r="U108">
        <f t="shared" ref="U108" si="429">SUM($D$108+$E$108)</f>
        <v>566589395.04290009</v>
      </c>
      <c r="V108">
        <v>186925339</v>
      </c>
      <c r="W108">
        <v>379664056.04290003</v>
      </c>
      <c r="X108">
        <f t="shared" ref="X108" si="430">SUM($D$108+$E$108)</f>
        <v>566589395.04290009</v>
      </c>
      <c r="Y108">
        <v>186925339</v>
      </c>
      <c r="Z108">
        <v>379664056.04290003</v>
      </c>
      <c r="AA108">
        <f t="shared" ref="AA108" si="431">SUM($D$108+$E$108)</f>
        <v>566589395.04290009</v>
      </c>
      <c r="AB108">
        <v>186925339</v>
      </c>
      <c r="AC108">
        <v>379664056.04290003</v>
      </c>
      <c r="AD108">
        <f t="shared" ref="AD108" si="432">SUM($D$108+$E$108)</f>
        <v>566589395.04290009</v>
      </c>
      <c r="AE108">
        <v>186925339</v>
      </c>
      <c r="AF108">
        <v>379664056.04290003</v>
      </c>
      <c r="AG108">
        <f t="shared" ref="AG108" si="433">SUM($D$108+$E$108)</f>
        <v>566589395.04290009</v>
      </c>
      <c r="AH108">
        <v>186925339</v>
      </c>
      <c r="AI108">
        <v>379664056.04290003</v>
      </c>
      <c r="AJ108">
        <f t="shared" ref="AJ108" si="434">SUM($D$108+$E$108)</f>
        <v>566589395.04290009</v>
      </c>
      <c r="AK108">
        <v>186925339</v>
      </c>
      <c r="AL108">
        <v>379664056.04290003</v>
      </c>
      <c r="AM108">
        <f t="shared" ref="AM108" si="435">SUM($D$108+$E$108)</f>
        <v>566589395.04290009</v>
      </c>
      <c r="AN108">
        <v>187039339</v>
      </c>
      <c r="AO108">
        <v>381765994.83290005</v>
      </c>
      <c r="AP108">
        <f>SUM($AN$108+$AO$108)</f>
        <v>568805333.83290005</v>
      </c>
      <c r="AQ108">
        <v>323483322</v>
      </c>
      <c r="AR108">
        <v>955634429.85240006</v>
      </c>
      <c r="AS108">
        <f>SUM($AQ$108+$AR$108)</f>
        <v>1279117751.8524001</v>
      </c>
      <c r="AT108">
        <v>332445580</v>
      </c>
      <c r="AU108">
        <v>1000361994.7780001</v>
      </c>
      <c r="AV108">
        <f>SUM($AT$108+$AU$108)</f>
        <v>1332807574.7780001</v>
      </c>
      <c r="AX108" s="57">
        <f t="shared" si="30"/>
        <v>4.197410507972954E-2</v>
      </c>
      <c r="AY108" s="57"/>
    </row>
    <row r="109" spans="2:51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6">SUM($D$109+$E$109)</f>
        <v>3727945880.3280001</v>
      </c>
      <c r="J109">
        <v>611238872</v>
      </c>
      <c r="K109">
        <v>3116707008.3280001</v>
      </c>
      <c r="L109">
        <f t="shared" ref="L109" si="437">SUM($D$109+$E$109)</f>
        <v>3727945880.3280001</v>
      </c>
      <c r="M109">
        <v>611238872</v>
      </c>
      <c r="N109">
        <v>3116707008.3280001</v>
      </c>
      <c r="O109">
        <f t="shared" ref="O109" si="438">SUM($D$109+$E$109)</f>
        <v>3727945880.3280001</v>
      </c>
      <c r="P109">
        <v>611238872</v>
      </c>
      <c r="Q109">
        <v>3116707008.3280001</v>
      </c>
      <c r="R109">
        <f t="shared" ref="R109" si="439">SUM($D$109+$E$109)</f>
        <v>3727945880.3280001</v>
      </c>
      <c r="S109">
        <v>611238872</v>
      </c>
      <c r="T109">
        <v>3116707008.3280001</v>
      </c>
      <c r="U109">
        <f t="shared" ref="U109" si="440">SUM($D$109+$E$109)</f>
        <v>3727945880.3280001</v>
      </c>
      <c r="V109">
        <v>611238872</v>
      </c>
      <c r="W109">
        <v>3116707008.3280001</v>
      </c>
      <c r="X109">
        <f t="shared" ref="X109" si="441">SUM($D$109+$E$109)</f>
        <v>3727945880.3280001</v>
      </c>
      <c r="Y109">
        <v>611238872</v>
      </c>
      <c r="Z109">
        <v>3116707008.3280001</v>
      </c>
      <c r="AA109">
        <f t="shared" ref="AA109" si="442">SUM($D$109+$E$109)</f>
        <v>3727945880.3280001</v>
      </c>
      <c r="AB109">
        <v>611238872</v>
      </c>
      <c r="AC109">
        <v>3116707008.3280001</v>
      </c>
      <c r="AD109">
        <f t="shared" ref="AD109" si="443">SUM($D$109+$E$109)</f>
        <v>3727945880.3280001</v>
      </c>
      <c r="AE109">
        <v>611238872</v>
      </c>
      <c r="AF109">
        <v>3116707008.3280001</v>
      </c>
      <c r="AG109">
        <f t="shared" ref="AG109" si="444">SUM($D$109+$E$109)</f>
        <v>3727945880.3280001</v>
      </c>
      <c r="AH109">
        <v>611238872</v>
      </c>
      <c r="AI109">
        <v>3116707008.3280001</v>
      </c>
      <c r="AJ109">
        <f t="shared" ref="AJ109" si="445">SUM($D$109+$E$109)</f>
        <v>3727945880.3280001</v>
      </c>
      <c r="AK109">
        <v>611238872</v>
      </c>
      <c r="AL109">
        <v>3116707008.3280001</v>
      </c>
      <c r="AM109">
        <f t="shared" ref="AM109" si="446">SUM($D$109+$E$109)</f>
        <v>3727945880.3280001</v>
      </c>
      <c r="AN109">
        <v>629240377</v>
      </c>
      <c r="AO109">
        <v>3312447192.6033998</v>
      </c>
      <c r="AP109">
        <f>SUM($AN$109+$AO$109)</f>
        <v>3941687569.6033998</v>
      </c>
      <c r="AQ109">
        <v>1032338389</v>
      </c>
      <c r="AR109">
        <v>7827396133.0757999</v>
      </c>
      <c r="AS109">
        <f>SUM($AQ$109+$AR$109)</f>
        <v>8859734522.0757999</v>
      </c>
      <c r="AT109">
        <v>1119102139</v>
      </c>
      <c r="AU109">
        <v>8893728519.0608006</v>
      </c>
      <c r="AV109">
        <f>SUM($AT$109+$AU$109)</f>
        <v>10012830658.060801</v>
      </c>
      <c r="AX109" s="57">
        <f t="shared" si="30"/>
        <v>0.13015019051776666</v>
      </c>
      <c r="AY109" s="57"/>
    </row>
    <row r="110" spans="2:51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7">SUM($D$110+$E$110)</f>
        <v>694856953.0308001</v>
      </c>
      <c r="J110">
        <v>191928227</v>
      </c>
      <c r="K110">
        <v>502928726.03080004</v>
      </c>
      <c r="L110">
        <f t="shared" ref="L110" si="448">SUM($D$110+$E$110)</f>
        <v>694856953.0308001</v>
      </c>
      <c r="M110">
        <v>191928227</v>
      </c>
      <c r="N110">
        <v>502928726.03080004</v>
      </c>
      <c r="O110">
        <f t="shared" ref="O110" si="449">SUM($D$110+$E$110)</f>
        <v>694856953.0308001</v>
      </c>
      <c r="P110">
        <v>191928227</v>
      </c>
      <c r="Q110">
        <v>502928726.03080004</v>
      </c>
      <c r="R110">
        <f t="shared" ref="R110" si="450">SUM($D$110+$E$110)</f>
        <v>694856953.0308001</v>
      </c>
      <c r="S110">
        <v>191928227</v>
      </c>
      <c r="T110">
        <v>502928726.03080004</v>
      </c>
      <c r="U110">
        <f t="shared" ref="U110" si="451">SUM($D$110+$E$110)</f>
        <v>694856953.0308001</v>
      </c>
      <c r="V110">
        <v>191928227</v>
      </c>
      <c r="W110">
        <v>502928726.03080004</v>
      </c>
      <c r="X110">
        <f t="shared" ref="X110" si="452">SUM($D$110+$E$110)</f>
        <v>694856953.0308001</v>
      </c>
      <c r="Y110">
        <v>191928227</v>
      </c>
      <c r="Z110">
        <v>502928726.03080004</v>
      </c>
      <c r="AA110">
        <f t="shared" ref="AA110" si="453">SUM($D$110+$E$110)</f>
        <v>694856953.0308001</v>
      </c>
      <c r="AB110">
        <v>191928227</v>
      </c>
      <c r="AC110">
        <v>502928726.03080004</v>
      </c>
      <c r="AD110">
        <f t="shared" ref="AD110" si="454">SUM($D$110+$E$110)</f>
        <v>694856953.0308001</v>
      </c>
      <c r="AE110">
        <v>191928227</v>
      </c>
      <c r="AF110">
        <v>502928726.03080004</v>
      </c>
      <c r="AG110">
        <f t="shared" ref="AG110" si="455">SUM($D$110+$E$110)</f>
        <v>694856953.0308001</v>
      </c>
      <c r="AH110">
        <v>191928227</v>
      </c>
      <c r="AI110">
        <v>502928726.03080004</v>
      </c>
      <c r="AJ110">
        <f t="shared" ref="AJ110" si="456">SUM($D$110+$E$110)</f>
        <v>694856953.0308001</v>
      </c>
      <c r="AK110">
        <v>191928227</v>
      </c>
      <c r="AL110">
        <v>502928726.03080004</v>
      </c>
      <c r="AM110">
        <f t="shared" ref="AM110" si="457">SUM($D$110+$E$110)</f>
        <v>694856953.0308001</v>
      </c>
      <c r="AN110">
        <v>198070479</v>
      </c>
      <c r="AO110">
        <v>520034042.61450005</v>
      </c>
      <c r="AP110">
        <f>SUM($AN$110+$AO$110)</f>
        <v>718104521.61450005</v>
      </c>
      <c r="AQ110">
        <v>273395359</v>
      </c>
      <c r="AR110">
        <v>929380183.38460004</v>
      </c>
      <c r="AS110">
        <f>SUM($AQ$110+$AR$110)</f>
        <v>1202775542.3846002</v>
      </c>
      <c r="AT110">
        <v>274346994</v>
      </c>
      <c r="AU110">
        <v>937553417.29560006</v>
      </c>
      <c r="AV110">
        <f>SUM($AT$110+$AU$110)</f>
        <v>1211900411.2955999</v>
      </c>
      <c r="AX110" s="57">
        <f t="shared" si="30"/>
        <v>7.586510192008955E-3</v>
      </c>
      <c r="AY110" s="57"/>
    </row>
    <row r="111" spans="2:51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8">SUM($D$111+$E$111)</f>
        <v>1351797901.6561</v>
      </c>
      <c r="J111">
        <v>299315347</v>
      </c>
      <c r="K111">
        <v>1052482554.6561</v>
      </c>
      <c r="L111">
        <f t="shared" ref="L111" si="459">SUM($D$111+$E$111)</f>
        <v>1351797901.6561</v>
      </c>
      <c r="M111">
        <v>299315347</v>
      </c>
      <c r="N111">
        <v>1052482554.6561</v>
      </c>
      <c r="O111">
        <f t="shared" ref="O111" si="460">SUM($D$111+$E$111)</f>
        <v>1351797901.6561</v>
      </c>
      <c r="P111">
        <v>299315347</v>
      </c>
      <c r="Q111">
        <v>1052482554.6561</v>
      </c>
      <c r="R111">
        <f t="shared" ref="R111" si="461">SUM($D$111+$E$111)</f>
        <v>1351797901.6561</v>
      </c>
      <c r="S111">
        <v>299315347</v>
      </c>
      <c r="T111">
        <v>1052482554.6561</v>
      </c>
      <c r="U111">
        <f t="shared" ref="U111" si="462">SUM($D$111+$E$111)</f>
        <v>1351797901.6561</v>
      </c>
      <c r="V111">
        <v>299315347</v>
      </c>
      <c r="W111">
        <v>1052482554.6561</v>
      </c>
      <c r="X111">
        <f t="shared" ref="X111" si="463">SUM($D$111+$E$111)</f>
        <v>1351797901.6561</v>
      </c>
      <c r="Y111">
        <v>299315347</v>
      </c>
      <c r="Z111">
        <v>1052482554.6561</v>
      </c>
      <c r="AA111">
        <f t="shared" ref="AA111" si="464">SUM($D$111+$E$111)</f>
        <v>1351797901.6561</v>
      </c>
      <c r="AB111">
        <v>299315347</v>
      </c>
      <c r="AC111">
        <v>1052482554.6561</v>
      </c>
      <c r="AD111">
        <f t="shared" ref="AD111" si="465">SUM($D$111+$E$111)</f>
        <v>1351797901.6561</v>
      </c>
      <c r="AE111">
        <v>299315347</v>
      </c>
      <c r="AF111">
        <v>1052482554.6561</v>
      </c>
      <c r="AG111">
        <f t="shared" ref="AG111" si="466">SUM($D$111+$E$111)</f>
        <v>1351797901.6561</v>
      </c>
      <c r="AH111">
        <v>299315347</v>
      </c>
      <c r="AI111">
        <v>1052482554.6561</v>
      </c>
      <c r="AJ111">
        <f t="shared" ref="AJ111" si="467">SUM($D$111+$E$111)</f>
        <v>1351797901.6561</v>
      </c>
      <c r="AK111">
        <v>299315347</v>
      </c>
      <c r="AL111">
        <v>1052482554.6561</v>
      </c>
      <c r="AM111">
        <f t="shared" ref="AM111" si="468">SUM($D$111+$E$111)</f>
        <v>1351797901.6561</v>
      </c>
      <c r="AN111">
        <v>306095347</v>
      </c>
      <c r="AO111">
        <v>1084893738.3721001</v>
      </c>
      <c r="AP111">
        <f>SUM($AN$111+$AO$111)</f>
        <v>1390989085.3721001</v>
      </c>
      <c r="AQ111">
        <v>455054713</v>
      </c>
      <c r="AR111">
        <v>2472403266.6716003</v>
      </c>
      <c r="AS111">
        <f>SUM($AQ$111+$AR$111)</f>
        <v>2927457979.6716003</v>
      </c>
      <c r="AT111">
        <v>476358547</v>
      </c>
      <c r="AU111">
        <v>2669179846.4051003</v>
      </c>
      <c r="AV111">
        <f>SUM($AT$111+$AU$111)</f>
        <v>3145538393.4051003</v>
      </c>
      <c r="AX111" s="57">
        <f t="shared" si="30"/>
        <v>7.449480581714929E-2</v>
      </c>
      <c r="AY111" s="57"/>
    </row>
    <row r="112" spans="2:51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9">SUM($D$112+$E$112)</f>
        <v>24995023.131999999</v>
      </c>
      <c r="J112">
        <v>17739548</v>
      </c>
      <c r="K112">
        <v>7255475.1319999993</v>
      </c>
      <c r="L112">
        <f t="shared" ref="L112" si="470">SUM($D$112+$E$112)</f>
        <v>24995023.131999999</v>
      </c>
      <c r="M112">
        <v>17739548</v>
      </c>
      <c r="N112">
        <v>7255475.1319999993</v>
      </c>
      <c r="O112">
        <f t="shared" ref="O112" si="471">SUM($D$112+$E$112)</f>
        <v>24995023.131999999</v>
      </c>
      <c r="P112">
        <v>17739548</v>
      </c>
      <c r="Q112">
        <v>7255475.1319999993</v>
      </c>
      <c r="R112">
        <f t="shared" ref="R112" si="472">SUM($D$112+$E$112)</f>
        <v>24995023.131999999</v>
      </c>
      <c r="S112">
        <v>17739548</v>
      </c>
      <c r="T112">
        <v>7255475.1319999993</v>
      </c>
      <c r="U112">
        <f t="shared" ref="U112" si="473">SUM($D$112+$E$112)</f>
        <v>24995023.131999999</v>
      </c>
      <c r="V112">
        <v>17739548</v>
      </c>
      <c r="W112">
        <v>7255475.1319999993</v>
      </c>
      <c r="X112">
        <f t="shared" ref="X112" si="474">SUM($D$112+$E$112)</f>
        <v>24995023.131999999</v>
      </c>
      <c r="Y112">
        <v>17739548</v>
      </c>
      <c r="Z112">
        <v>7255475.1319999993</v>
      </c>
      <c r="AA112">
        <f t="shared" ref="AA112" si="475">SUM($D$112+$E$112)</f>
        <v>24995023.131999999</v>
      </c>
      <c r="AB112">
        <v>17739548</v>
      </c>
      <c r="AC112">
        <v>7255475.1319999993</v>
      </c>
      <c r="AD112">
        <f t="shared" ref="AD112" si="476">SUM($D$112+$E$112)</f>
        <v>24995023.131999999</v>
      </c>
      <c r="AE112">
        <v>17739548</v>
      </c>
      <c r="AF112">
        <v>7255475.1319999993</v>
      </c>
      <c r="AG112">
        <f t="shared" ref="AG112" si="477">SUM($D$112+$E$112)</f>
        <v>24995023.131999999</v>
      </c>
      <c r="AH112">
        <v>17739548</v>
      </c>
      <c r="AI112">
        <v>7255475.1319999993</v>
      </c>
      <c r="AJ112">
        <f t="shared" ref="AJ112" si="478">SUM($D$112+$E$112)</f>
        <v>24995023.131999999</v>
      </c>
      <c r="AK112">
        <v>17739548</v>
      </c>
      <c r="AL112">
        <v>7255475.1319999993</v>
      </c>
      <c r="AM112">
        <f t="shared" ref="AM112" si="479">SUM($D$112+$E$112)</f>
        <v>24995023.131999999</v>
      </c>
      <c r="AN112">
        <v>17957048</v>
      </c>
      <c r="AO112">
        <v>7344432.6319999993</v>
      </c>
      <c r="AP112">
        <f>SUM($AN$112+$AO$112)</f>
        <v>25301480.631999999</v>
      </c>
      <c r="AQ112">
        <v>45569838</v>
      </c>
      <c r="AR112">
        <v>38852843.878800005</v>
      </c>
      <c r="AS112">
        <f>SUM($AQ$112+$AR$112)</f>
        <v>84422681.878800005</v>
      </c>
      <c r="AT112">
        <v>69174598</v>
      </c>
      <c r="AU112">
        <v>66698147.391599998</v>
      </c>
      <c r="AV112">
        <f>SUM($AT$112+$AU$112)</f>
        <v>135872745.39160001</v>
      </c>
      <c r="AX112" s="57">
        <f t="shared" si="30"/>
        <v>0.6094341279830866</v>
      </c>
      <c r="AY112" s="57"/>
    </row>
    <row r="113" spans="2:51">
      <c r="B113" s="2" t="s">
        <v>371</v>
      </c>
      <c r="C113" t="s">
        <v>366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" si="480">SUM($D$113+$E$113)</f>
        <v>45586453432.695801</v>
      </c>
      <c r="J113">
        <v>2464105979</v>
      </c>
      <c r="K113">
        <v>43122347453.695801</v>
      </c>
      <c r="L113">
        <f t="shared" ref="L113" si="481">SUM($D$113+$E$113)</f>
        <v>45586453432.695801</v>
      </c>
      <c r="M113">
        <v>2464105979</v>
      </c>
      <c r="N113">
        <v>43122347453.695801</v>
      </c>
      <c r="O113">
        <f t="shared" ref="O113" si="482">SUM($D$113+$E$113)</f>
        <v>45586453432.695801</v>
      </c>
      <c r="P113">
        <v>2464105979</v>
      </c>
      <c r="Q113">
        <v>43122347453.695801</v>
      </c>
      <c r="R113">
        <f t="shared" ref="R113" si="483">SUM($D$113+$E$113)</f>
        <v>45586453432.695801</v>
      </c>
      <c r="S113">
        <v>2464105979</v>
      </c>
      <c r="T113">
        <v>43122347453.695801</v>
      </c>
      <c r="U113">
        <f t="shared" ref="U113" si="484">SUM($D$113+$E$113)</f>
        <v>45586453432.695801</v>
      </c>
      <c r="V113">
        <v>2464105979</v>
      </c>
      <c r="W113">
        <v>43122347453.695801</v>
      </c>
      <c r="X113">
        <f t="shared" ref="X113" si="485">SUM($D$113+$E$113)</f>
        <v>45586453432.695801</v>
      </c>
      <c r="Y113">
        <v>2464105979</v>
      </c>
      <c r="Z113">
        <v>43122347453.695801</v>
      </c>
      <c r="AA113">
        <f t="shared" ref="AA113" si="486">SUM($D$113+$E$113)</f>
        <v>45586453432.695801</v>
      </c>
      <c r="AB113">
        <v>2464105979</v>
      </c>
      <c r="AC113">
        <v>43122347453.695801</v>
      </c>
      <c r="AD113">
        <f t="shared" ref="AD113" si="487">SUM($D$113+$E$113)</f>
        <v>45586453432.695801</v>
      </c>
      <c r="AE113">
        <v>2464105979</v>
      </c>
      <c r="AF113">
        <v>43122347453.695801</v>
      </c>
      <c r="AG113">
        <f t="shared" ref="AG113" si="488">SUM($D$113+$E$113)</f>
        <v>45586453432.695801</v>
      </c>
      <c r="AH113">
        <v>2464105979</v>
      </c>
      <c r="AI113">
        <v>43122347453.695801</v>
      </c>
      <c r="AJ113">
        <f t="shared" ref="AJ113" si="489">SUM($D$113+$E$113)</f>
        <v>45586453432.695801</v>
      </c>
      <c r="AK113">
        <v>2464105979</v>
      </c>
      <c r="AL113">
        <v>43122347453.695801</v>
      </c>
      <c r="AM113">
        <f t="shared" ref="AM113" si="490">SUM($D$113+$E$113)</f>
        <v>45586453432.695801</v>
      </c>
      <c r="AN113">
        <v>2464105979</v>
      </c>
      <c r="AO113">
        <v>43122347453.695801</v>
      </c>
      <c r="AP113">
        <f t="shared" ref="AP113" si="491">SUM($D$113+$E$113)</f>
        <v>45586453432.695801</v>
      </c>
      <c r="AQ113">
        <v>3256897528</v>
      </c>
      <c r="AR113">
        <v>64427295519.390404</v>
      </c>
      <c r="AS113">
        <f>SUM($AQ$113+$AR$113)</f>
        <v>67684193047.390404</v>
      </c>
      <c r="AT113">
        <v>3391148193</v>
      </c>
      <c r="AU113">
        <v>69726415340.730911</v>
      </c>
      <c r="AV113">
        <f>SUM($AT$113+$AU$113)</f>
        <v>73117563533.730911</v>
      </c>
      <c r="AX113" s="57">
        <f t="shared" si="30"/>
        <v>8.0275323405809562E-2</v>
      </c>
      <c r="AY113" s="57"/>
    </row>
    <row r="114" spans="2:51">
      <c r="B114" t="s">
        <v>374</v>
      </c>
      <c r="C114" t="s">
        <v>368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" si="492">SUM($D$114+$E$114)</f>
        <v>6922575818.5122995</v>
      </c>
      <c r="J114">
        <v>849364541</v>
      </c>
      <c r="K114">
        <v>6073211277.5122995</v>
      </c>
      <c r="L114">
        <f t="shared" ref="L114" si="493">SUM($D$114+$E$114)</f>
        <v>6922575818.5122995</v>
      </c>
      <c r="M114">
        <v>849364541</v>
      </c>
      <c r="N114">
        <v>6073211277.5122995</v>
      </c>
      <c r="O114">
        <f t="shared" ref="O114" si="494">SUM($D$114+$E$114)</f>
        <v>6922575818.5122995</v>
      </c>
      <c r="P114">
        <v>849364541</v>
      </c>
      <c r="Q114">
        <v>6073211277.5122995</v>
      </c>
      <c r="R114">
        <f t="shared" ref="R114" si="495">SUM($D$114+$E$114)</f>
        <v>6922575818.5122995</v>
      </c>
      <c r="S114">
        <v>849364541</v>
      </c>
      <c r="T114">
        <v>6073211277.5122995</v>
      </c>
      <c r="U114">
        <f t="shared" ref="U114" si="496">SUM($D$114+$E$114)</f>
        <v>6922575818.5122995</v>
      </c>
      <c r="V114">
        <v>849364541</v>
      </c>
      <c r="W114">
        <v>6073211277.5122995</v>
      </c>
      <c r="X114">
        <f t="shared" ref="X114" si="497">SUM($D$114+$E$114)</f>
        <v>6922575818.5122995</v>
      </c>
      <c r="Y114">
        <v>849364541</v>
      </c>
      <c r="Z114">
        <v>6073211277.5122995</v>
      </c>
      <c r="AA114">
        <f t="shared" ref="AA114" si="498">SUM($D$114+$E$114)</f>
        <v>6922575818.5122995</v>
      </c>
      <c r="AB114">
        <v>849364541</v>
      </c>
      <c r="AC114">
        <v>6073211277.5122995</v>
      </c>
      <c r="AD114">
        <f t="shared" ref="AD114" si="499">SUM($D$114+$E$114)</f>
        <v>6922575818.5122995</v>
      </c>
      <c r="AE114">
        <v>849364541</v>
      </c>
      <c r="AF114">
        <v>6073211277.5122995</v>
      </c>
      <c r="AG114">
        <f t="shared" ref="AG114" si="500">SUM($D$114+$E$114)</f>
        <v>6922575818.5122995</v>
      </c>
      <c r="AH114">
        <v>849364541</v>
      </c>
      <c r="AI114">
        <v>6073211277.5122995</v>
      </c>
      <c r="AJ114">
        <f t="shared" ref="AJ114" si="501">SUM($D$114+$E$114)</f>
        <v>6922575818.5122995</v>
      </c>
      <c r="AK114">
        <v>849364541</v>
      </c>
      <c r="AL114">
        <v>6073211277.5122995</v>
      </c>
      <c r="AM114">
        <f t="shared" ref="AM114" si="502">SUM($D$114+$E$114)</f>
        <v>6922575818.5122995</v>
      </c>
      <c r="AN114">
        <v>849364541</v>
      </c>
      <c r="AO114">
        <v>6073211277.5122995</v>
      </c>
      <c r="AP114">
        <f t="shared" ref="AP114" si="503">SUM($D$114+$E$114)</f>
        <v>6922575818.5122995</v>
      </c>
      <c r="AQ114">
        <v>1069185346</v>
      </c>
      <c r="AR114">
        <v>8727759979.3979988</v>
      </c>
      <c r="AS114">
        <f>SUM($AQ$114+$AR$114)</f>
        <v>9796945325.3979988</v>
      </c>
      <c r="AT114">
        <v>1083296761</v>
      </c>
      <c r="AU114">
        <v>9000354479.4162998</v>
      </c>
      <c r="AV114">
        <f>SUM($AT$114+$AU$114)</f>
        <v>10083651240.4163</v>
      </c>
      <c r="AX114" s="57">
        <f t="shared" si="30"/>
        <v>2.9264827504450031E-2</v>
      </c>
      <c r="AY114" s="57"/>
    </row>
    <row r="115" spans="2:51">
      <c r="B115" s="1" t="s">
        <v>372</v>
      </c>
      <c r="C115" t="s">
        <v>369</v>
      </c>
      <c r="D115">
        <v>139868725</v>
      </c>
      <c r="E115">
        <v>282548811.3725</v>
      </c>
      <c r="F115">
        <f>SUM($D$115+$E$115)</f>
        <v>422417536.3725</v>
      </c>
      <c r="G115">
        <v>139868725</v>
      </c>
      <c r="H115">
        <v>282548811.3725</v>
      </c>
      <c r="I115">
        <f>SUM($D$115+$E$115)</f>
        <v>422417536.3725</v>
      </c>
      <c r="J115">
        <v>139868725</v>
      </c>
      <c r="K115">
        <v>282548811.3725</v>
      </c>
      <c r="L115">
        <f>SUM($D$115+$E$115)</f>
        <v>422417536.3725</v>
      </c>
      <c r="M115">
        <v>139868725</v>
      </c>
      <c r="N115">
        <v>282548811.3725</v>
      </c>
      <c r="O115">
        <f>SUM($D$115+$E$115)</f>
        <v>422417536.3725</v>
      </c>
      <c r="P115">
        <v>139868725</v>
      </c>
      <c r="Q115">
        <v>282548811.3725</v>
      </c>
      <c r="R115">
        <f>SUM($D$115+$E$115)</f>
        <v>422417536.3725</v>
      </c>
      <c r="S115">
        <v>139868725</v>
      </c>
      <c r="T115">
        <v>282548811.3725</v>
      </c>
      <c r="U115">
        <f>SUM($D$115+$E$115)</f>
        <v>422417536.3725</v>
      </c>
      <c r="V115">
        <v>139868725</v>
      </c>
      <c r="W115">
        <v>282548811.3725</v>
      </c>
      <c r="X115">
        <f>SUM($D$115+$E$115)</f>
        <v>422417536.3725</v>
      </c>
      <c r="Y115">
        <v>139868725</v>
      </c>
      <c r="Z115">
        <v>282548811.3725</v>
      </c>
      <c r="AA115">
        <f>SUM($D$115+$E$115)</f>
        <v>422417536.3725</v>
      </c>
      <c r="AB115">
        <v>139868725</v>
      </c>
      <c r="AC115">
        <v>282548811.3725</v>
      </c>
      <c r="AD115">
        <f>SUM($D$115+$E$115)</f>
        <v>422417536.3725</v>
      </c>
      <c r="AE115">
        <v>139868725</v>
      </c>
      <c r="AF115">
        <v>282548811.3725</v>
      </c>
      <c r="AG115">
        <f>SUM($D$115+$E$115)</f>
        <v>422417536.3725</v>
      </c>
      <c r="AH115">
        <v>139868725</v>
      </c>
      <c r="AI115">
        <v>282548811.3725</v>
      </c>
      <c r="AJ115">
        <f>SUM($D$115+$E$115)</f>
        <v>422417536.3725</v>
      </c>
      <c r="AK115">
        <v>139868725</v>
      </c>
      <c r="AL115">
        <v>282548811.3725</v>
      </c>
      <c r="AM115">
        <f>SUM($D$115+$E$115)</f>
        <v>422417536.3725</v>
      </c>
      <c r="AN115">
        <v>139868725</v>
      </c>
      <c r="AO115">
        <v>282548811.3725</v>
      </c>
      <c r="AP115">
        <f>SUM($D$115+$E$115)</f>
        <v>422417536.3725</v>
      </c>
      <c r="AQ115">
        <v>299122125</v>
      </c>
      <c r="AR115">
        <v>1065293535.9749999</v>
      </c>
      <c r="AS115">
        <f>SUM($AQ$115+$AR$115)</f>
        <v>1364415660.9749999</v>
      </c>
      <c r="AT115">
        <v>312921150</v>
      </c>
      <c r="AU115">
        <v>1173516896.73</v>
      </c>
      <c r="AV115">
        <f>SUM($AT$115+$AU$115)</f>
        <v>1486438046.73</v>
      </c>
      <c r="AX115" s="57">
        <f t="shared" si="30"/>
        <v>8.9431973880894855E-2</v>
      </c>
      <c r="AY115" s="57"/>
    </row>
    <row r="116" spans="2:51">
      <c r="B116" t="s">
        <v>399</v>
      </c>
      <c r="C116" t="s">
        <v>375</v>
      </c>
      <c r="D116">
        <v>202129099</v>
      </c>
      <c r="E116">
        <v>601414921.16460001</v>
      </c>
      <c r="F116">
        <f>SUM($D$116+$E$116)</f>
        <v>803544020.16460001</v>
      </c>
      <c r="G116">
        <v>202129099</v>
      </c>
      <c r="H116">
        <v>601414921.16460001</v>
      </c>
      <c r="I116">
        <f t="shared" ref="I116" si="504">SUM($D$116+$E$116)</f>
        <v>803544020.16460001</v>
      </c>
      <c r="J116">
        <v>202129099</v>
      </c>
      <c r="K116">
        <v>601414921.16460001</v>
      </c>
      <c r="L116">
        <f t="shared" ref="L116" si="505">SUM($D$116+$E$116)</f>
        <v>803544020.16460001</v>
      </c>
      <c r="M116">
        <v>202129099</v>
      </c>
      <c r="N116">
        <v>601414921.16460001</v>
      </c>
      <c r="O116">
        <f t="shared" ref="O116" si="506">SUM($D$116+$E$116)</f>
        <v>803544020.16460001</v>
      </c>
      <c r="P116">
        <v>202129099</v>
      </c>
      <c r="Q116">
        <v>601414921.16460001</v>
      </c>
      <c r="R116">
        <f t="shared" ref="R116" si="507">SUM($D$116+$E$116)</f>
        <v>803544020.16460001</v>
      </c>
      <c r="S116">
        <v>202129099</v>
      </c>
      <c r="T116">
        <v>601414921.16460001</v>
      </c>
      <c r="U116">
        <f t="shared" ref="U116" si="508">SUM($D$116+$E$116)</f>
        <v>803544020.16460001</v>
      </c>
      <c r="V116">
        <v>202129099</v>
      </c>
      <c r="W116">
        <v>601414921.16460001</v>
      </c>
      <c r="X116">
        <f t="shared" ref="X116" si="509">SUM($D$116+$E$116)</f>
        <v>803544020.16460001</v>
      </c>
      <c r="Y116">
        <v>202129099</v>
      </c>
      <c r="Z116">
        <v>601414921.16460001</v>
      </c>
      <c r="AA116">
        <f t="shared" ref="AA116" si="510">SUM($D$116+$E$116)</f>
        <v>803544020.16460001</v>
      </c>
      <c r="AB116">
        <v>202129099</v>
      </c>
      <c r="AC116">
        <v>601414921.16460001</v>
      </c>
      <c r="AD116">
        <f t="shared" ref="AD116" si="511">SUM($D$116+$E$116)</f>
        <v>803544020.16460001</v>
      </c>
      <c r="AE116">
        <v>202129099</v>
      </c>
      <c r="AF116">
        <v>601414921.16460001</v>
      </c>
      <c r="AG116">
        <f t="shared" ref="AG116" si="512">SUM($D$116+$E$116)</f>
        <v>803544020.16460001</v>
      </c>
      <c r="AH116">
        <v>202129099</v>
      </c>
      <c r="AI116">
        <v>601414921.16460001</v>
      </c>
      <c r="AJ116">
        <f t="shared" ref="AJ116" si="513">SUM($D$116+$E$116)</f>
        <v>803544020.16460001</v>
      </c>
      <c r="AK116">
        <v>202129099</v>
      </c>
      <c r="AL116">
        <v>601414921.16460001</v>
      </c>
      <c r="AM116">
        <f t="shared" ref="AM116" si="514">SUM($D$116+$E$116)</f>
        <v>803544020.16460001</v>
      </c>
      <c r="AN116">
        <v>202129099</v>
      </c>
      <c r="AO116">
        <v>601414921.16460001</v>
      </c>
      <c r="AP116">
        <f t="shared" ref="AP116" si="515">SUM($D$116+$E$116)</f>
        <v>803544020.16460001</v>
      </c>
      <c r="AQ116">
        <v>202129099</v>
      </c>
      <c r="AR116">
        <v>601414921.16460001</v>
      </c>
      <c r="AS116">
        <f t="shared" ref="AS116" si="516">SUM($D$116+$E$116)</f>
        <v>803544020.16460001</v>
      </c>
      <c r="AT116">
        <v>223569939</v>
      </c>
      <c r="AU116">
        <v>728949786.10950005</v>
      </c>
      <c r="AV116">
        <f>SUM($AT$116+$AU$116)</f>
        <v>952519725.10950005</v>
      </c>
      <c r="AX116" s="57">
        <f t="shared" si="30"/>
        <v>0.18539831198592394</v>
      </c>
      <c r="AY116" s="57"/>
    </row>
    <row r="117" spans="2:51">
      <c r="B117" t="s">
        <v>400</v>
      </c>
      <c r="C117" t="s">
        <v>376</v>
      </c>
      <c r="D117">
        <v>1628214034</v>
      </c>
      <c r="E117">
        <v>20668060483.385799</v>
      </c>
      <c r="F117">
        <f>SUM($D$117+$E$117)</f>
        <v>22296274517.385799</v>
      </c>
      <c r="G117">
        <v>1628214034</v>
      </c>
      <c r="H117">
        <v>20668060483.385799</v>
      </c>
      <c r="I117">
        <f t="shared" ref="I117" si="517">SUM($D$117+$E$117)</f>
        <v>22296274517.385799</v>
      </c>
      <c r="J117">
        <v>1628214034</v>
      </c>
      <c r="K117">
        <v>20668060483.385799</v>
      </c>
      <c r="L117">
        <f t="shared" ref="L117" si="518">SUM($D$117+$E$117)</f>
        <v>22296274517.385799</v>
      </c>
      <c r="M117">
        <v>1628214034</v>
      </c>
      <c r="N117">
        <v>20668060483.385799</v>
      </c>
      <c r="O117">
        <f t="shared" ref="O117" si="519">SUM($D$117+$E$117)</f>
        <v>22296274517.385799</v>
      </c>
      <c r="P117">
        <v>1628214034</v>
      </c>
      <c r="Q117">
        <v>20668060483.385799</v>
      </c>
      <c r="R117">
        <f t="shared" ref="R117" si="520">SUM($D$117+$E$117)</f>
        <v>22296274517.385799</v>
      </c>
      <c r="S117">
        <v>1628214034</v>
      </c>
      <c r="T117">
        <v>20668060483.385799</v>
      </c>
      <c r="U117">
        <f t="shared" ref="U117" si="521">SUM($D$117+$E$117)</f>
        <v>22296274517.385799</v>
      </c>
      <c r="V117">
        <v>1628214034</v>
      </c>
      <c r="W117">
        <v>20668060483.385799</v>
      </c>
      <c r="X117">
        <f t="shared" ref="X117" si="522">SUM($D$117+$E$117)</f>
        <v>22296274517.385799</v>
      </c>
      <c r="Y117">
        <v>1628214034</v>
      </c>
      <c r="Z117">
        <v>20668060483.385799</v>
      </c>
      <c r="AA117">
        <f t="shared" ref="AA117" si="523">SUM($D$117+$E$117)</f>
        <v>22296274517.385799</v>
      </c>
      <c r="AB117">
        <v>1628214034</v>
      </c>
      <c r="AC117">
        <v>20668060483.385799</v>
      </c>
      <c r="AD117">
        <f t="shared" ref="AD117" si="524">SUM($D$117+$E$117)</f>
        <v>22296274517.385799</v>
      </c>
      <c r="AE117">
        <v>1628214034</v>
      </c>
      <c r="AF117">
        <v>20668060483.385799</v>
      </c>
      <c r="AG117">
        <f t="shared" ref="AG117" si="525">SUM($D$117+$E$117)</f>
        <v>22296274517.385799</v>
      </c>
      <c r="AH117">
        <v>1628214034</v>
      </c>
      <c r="AI117">
        <v>20668060483.385799</v>
      </c>
      <c r="AJ117">
        <f t="shared" ref="AJ117" si="526">SUM($D$117+$E$117)</f>
        <v>22296274517.385799</v>
      </c>
      <c r="AK117">
        <v>1628214034</v>
      </c>
      <c r="AL117">
        <v>20668060483.385799</v>
      </c>
      <c r="AM117">
        <f t="shared" ref="AM117" si="527">SUM($D$117+$E$117)</f>
        <v>22296274517.385799</v>
      </c>
      <c r="AN117">
        <v>1628214034</v>
      </c>
      <c r="AO117">
        <v>20668060483.385799</v>
      </c>
      <c r="AP117">
        <f t="shared" ref="AP117" si="528">SUM($D$117+$E$117)</f>
        <v>22296274517.385799</v>
      </c>
      <c r="AQ117">
        <v>1628214034</v>
      </c>
      <c r="AR117">
        <v>20668060483.385799</v>
      </c>
      <c r="AS117">
        <f t="shared" ref="AS117" si="529">SUM($D$117+$E$117)</f>
        <v>22296274517.385799</v>
      </c>
      <c r="AT117">
        <v>1754867494</v>
      </c>
      <c r="AU117">
        <v>23190047472.9618</v>
      </c>
      <c r="AV117">
        <f>SUM($AT$117+$AU$117)</f>
        <v>24944914966.9618</v>
      </c>
      <c r="AX117" s="57">
        <f t="shared" si="30"/>
        <v>0.11879296012034168</v>
      </c>
      <c r="AY117" s="57"/>
    </row>
    <row r="118" spans="2:51">
      <c r="B118" t="s">
        <v>401</v>
      </c>
      <c r="C118" t="s">
        <v>377</v>
      </c>
      <c r="D118">
        <v>136070102</v>
      </c>
      <c r="E118">
        <v>455889269.74080002</v>
      </c>
      <c r="F118">
        <f>SUM($D$118+$E$118)</f>
        <v>591959371.74080002</v>
      </c>
      <c r="G118">
        <v>136070102</v>
      </c>
      <c r="H118">
        <v>455889269.74080002</v>
      </c>
      <c r="I118">
        <f t="shared" ref="I118" si="530">SUM($D$118+$E$118)</f>
        <v>591959371.74080002</v>
      </c>
      <c r="J118">
        <v>136070102</v>
      </c>
      <c r="K118">
        <v>455889269.74080002</v>
      </c>
      <c r="L118">
        <f t="shared" ref="L118" si="531">SUM($D$118+$E$118)</f>
        <v>591959371.74080002</v>
      </c>
      <c r="M118">
        <v>136070102</v>
      </c>
      <c r="N118">
        <v>455889269.74080002</v>
      </c>
      <c r="O118">
        <f t="shared" ref="O118" si="532">SUM($D$118+$E$118)</f>
        <v>591959371.74080002</v>
      </c>
      <c r="P118">
        <v>136070102</v>
      </c>
      <c r="Q118">
        <v>455889269.74080002</v>
      </c>
      <c r="R118">
        <f t="shared" ref="R118" si="533">SUM($D$118+$E$118)</f>
        <v>591959371.74080002</v>
      </c>
      <c r="S118">
        <v>136070102</v>
      </c>
      <c r="T118">
        <v>455889269.74080002</v>
      </c>
      <c r="U118">
        <f t="shared" ref="U118" si="534">SUM($D$118+$E$118)</f>
        <v>591959371.74080002</v>
      </c>
      <c r="V118">
        <v>136070102</v>
      </c>
      <c r="W118">
        <v>455889269.74080002</v>
      </c>
      <c r="X118">
        <f t="shared" ref="X118" si="535">SUM($D$118+$E$118)</f>
        <v>591959371.74080002</v>
      </c>
      <c r="Y118">
        <v>136070102</v>
      </c>
      <c r="Z118">
        <v>455889269.74080002</v>
      </c>
      <c r="AA118">
        <f t="shared" ref="AA118" si="536">SUM($D$118+$E$118)</f>
        <v>591959371.74080002</v>
      </c>
      <c r="AB118">
        <v>136070102</v>
      </c>
      <c r="AC118">
        <v>455889269.74080002</v>
      </c>
      <c r="AD118">
        <f t="shared" ref="AD118" si="537">SUM($D$118+$E$118)</f>
        <v>591959371.74080002</v>
      </c>
      <c r="AE118">
        <v>136070102</v>
      </c>
      <c r="AF118">
        <v>455889269.74080002</v>
      </c>
      <c r="AG118">
        <f t="shared" ref="AG118" si="538">SUM($D$118+$E$118)</f>
        <v>591959371.74080002</v>
      </c>
      <c r="AH118">
        <v>136070102</v>
      </c>
      <c r="AI118">
        <v>455889269.74080002</v>
      </c>
      <c r="AJ118">
        <f t="shared" ref="AJ118" si="539">SUM($D$118+$E$118)</f>
        <v>591959371.74080002</v>
      </c>
      <c r="AK118">
        <v>136070102</v>
      </c>
      <c r="AL118">
        <v>455889269.74080002</v>
      </c>
      <c r="AM118">
        <f t="shared" ref="AM118" si="540">SUM($D$118+$E$118)</f>
        <v>591959371.74080002</v>
      </c>
      <c r="AN118">
        <v>136070102</v>
      </c>
      <c r="AO118">
        <v>455889269.74080002</v>
      </c>
      <c r="AP118">
        <f t="shared" ref="AP118" si="541">SUM($D$118+$E$118)</f>
        <v>591959371.74080002</v>
      </c>
      <c r="AQ118">
        <v>136070102</v>
      </c>
      <c r="AR118">
        <v>455889269.74080002</v>
      </c>
      <c r="AS118">
        <f t="shared" ref="AS118" si="542">SUM($D$118+$E$118)</f>
        <v>591959371.74080002</v>
      </c>
      <c r="AT118">
        <v>156613642</v>
      </c>
      <c r="AU118">
        <v>553425626.73539996</v>
      </c>
      <c r="AV118">
        <f>SUM($AT$118+$AU$118)</f>
        <v>710039268.73539996</v>
      </c>
      <c r="AX118" s="57">
        <f t="shared" si="30"/>
        <v>0.19947297505799666</v>
      </c>
      <c r="AY118" s="57"/>
    </row>
    <row r="119" spans="2:51">
      <c r="B119" t="s">
        <v>402</v>
      </c>
      <c r="C119" t="s">
        <v>378</v>
      </c>
      <c r="D119">
        <v>285371525</v>
      </c>
      <c r="E119">
        <v>727840074.51250005</v>
      </c>
      <c r="F119">
        <f>SUM($D$119+$E$119)</f>
        <v>1013211599.5125</v>
      </c>
      <c r="G119">
        <v>285371525</v>
      </c>
      <c r="H119">
        <v>727840074.51250005</v>
      </c>
      <c r="I119">
        <f t="shared" ref="I119" si="543">SUM($D$119+$E$119)</f>
        <v>1013211599.5125</v>
      </c>
      <c r="J119">
        <v>285371525</v>
      </c>
      <c r="K119">
        <v>727840074.51250005</v>
      </c>
      <c r="L119">
        <f t="shared" ref="L119" si="544">SUM($D$119+$E$119)</f>
        <v>1013211599.5125</v>
      </c>
      <c r="M119">
        <v>285371525</v>
      </c>
      <c r="N119">
        <v>727840074.51250005</v>
      </c>
      <c r="O119">
        <f t="shared" ref="O119" si="545">SUM($D$119+$E$119)</f>
        <v>1013211599.5125</v>
      </c>
      <c r="P119">
        <v>285371525</v>
      </c>
      <c r="Q119">
        <v>727840074.51250005</v>
      </c>
      <c r="R119">
        <f t="shared" ref="R119" si="546">SUM($D$119+$E$119)</f>
        <v>1013211599.5125</v>
      </c>
      <c r="S119">
        <v>285371525</v>
      </c>
      <c r="T119">
        <v>727840074.51250005</v>
      </c>
      <c r="U119">
        <f t="shared" ref="U119" si="547">SUM($D$119+$E$119)</f>
        <v>1013211599.5125</v>
      </c>
      <c r="V119">
        <v>285371525</v>
      </c>
      <c r="W119">
        <v>727840074.51250005</v>
      </c>
      <c r="X119">
        <f t="shared" ref="X119" si="548">SUM($D$119+$E$119)</f>
        <v>1013211599.5125</v>
      </c>
      <c r="Y119">
        <v>285371525</v>
      </c>
      <c r="Z119">
        <v>727840074.51250005</v>
      </c>
      <c r="AA119">
        <f t="shared" ref="AA119" si="549">SUM($D$119+$E$119)</f>
        <v>1013211599.5125</v>
      </c>
      <c r="AB119">
        <v>285371525</v>
      </c>
      <c r="AC119">
        <v>727840074.51250005</v>
      </c>
      <c r="AD119">
        <f t="shared" ref="AD119" si="550">SUM($D$119+$E$119)</f>
        <v>1013211599.5125</v>
      </c>
      <c r="AE119">
        <v>285371525</v>
      </c>
      <c r="AF119">
        <v>727840074.51250005</v>
      </c>
      <c r="AG119">
        <f t="shared" ref="AG119" si="551">SUM($D$119+$E$119)</f>
        <v>1013211599.5125</v>
      </c>
      <c r="AH119">
        <v>285371525</v>
      </c>
      <c r="AI119">
        <v>727840074.51250005</v>
      </c>
      <c r="AJ119">
        <f t="shared" ref="AJ119" si="552">SUM($D$119+$E$119)</f>
        <v>1013211599.5125</v>
      </c>
      <c r="AK119">
        <v>285371525</v>
      </c>
      <c r="AL119">
        <v>727840074.51250005</v>
      </c>
      <c r="AM119">
        <f t="shared" ref="AM119" si="553">SUM($D$119+$E$119)</f>
        <v>1013211599.5125</v>
      </c>
      <c r="AN119">
        <v>285371525</v>
      </c>
      <c r="AO119">
        <v>727840074.51250005</v>
      </c>
      <c r="AP119">
        <f t="shared" ref="AP119" si="554">SUM($D$119+$E$119)</f>
        <v>1013211599.5125</v>
      </c>
      <c r="AQ119">
        <v>285371525</v>
      </c>
      <c r="AR119">
        <v>727840074.51250005</v>
      </c>
      <c r="AS119">
        <f t="shared" ref="AS119" si="555">SUM($D$119+$E$119)</f>
        <v>1013211599.5125</v>
      </c>
      <c r="AT119">
        <v>287359572</v>
      </c>
      <c r="AU119">
        <v>795008991.89520001</v>
      </c>
      <c r="AV119">
        <f>SUM($AT$119+$AU$119)</f>
        <v>1082368563.8952</v>
      </c>
      <c r="AX119" s="57">
        <f t="shared" si="30"/>
        <v>6.8255203963292876E-2</v>
      </c>
      <c r="AY119" s="57"/>
    </row>
    <row r="120" spans="2:51">
      <c r="B120" t="s">
        <v>403</v>
      </c>
      <c r="C120" t="s">
        <v>379</v>
      </c>
      <c r="D120">
        <v>240254506</v>
      </c>
      <c r="E120">
        <v>953113650.75259995</v>
      </c>
      <c r="F120">
        <f>SUM($D$120+$E$120)</f>
        <v>1193368156.7526</v>
      </c>
      <c r="G120">
        <v>240254506</v>
      </c>
      <c r="H120">
        <v>953113650.75259995</v>
      </c>
      <c r="I120">
        <f t="shared" ref="I120" si="556">SUM($D$120+$E$120)</f>
        <v>1193368156.7526</v>
      </c>
      <c r="J120">
        <v>240254506</v>
      </c>
      <c r="K120">
        <v>953113650.75259995</v>
      </c>
      <c r="L120">
        <f t="shared" ref="L120" si="557">SUM($D$120+$E$120)</f>
        <v>1193368156.7526</v>
      </c>
      <c r="M120">
        <v>240254506</v>
      </c>
      <c r="N120">
        <v>953113650.75259995</v>
      </c>
      <c r="O120">
        <f t="shared" ref="O120" si="558">SUM($D$120+$E$120)</f>
        <v>1193368156.7526</v>
      </c>
      <c r="P120">
        <v>240254506</v>
      </c>
      <c r="Q120">
        <v>953113650.75259995</v>
      </c>
      <c r="R120">
        <f t="shared" ref="R120" si="559">SUM($D$120+$E$120)</f>
        <v>1193368156.7526</v>
      </c>
      <c r="S120">
        <v>240254506</v>
      </c>
      <c r="T120">
        <v>953113650.75259995</v>
      </c>
      <c r="U120">
        <f t="shared" ref="U120" si="560">SUM($D$120+$E$120)</f>
        <v>1193368156.7526</v>
      </c>
      <c r="V120">
        <v>240254506</v>
      </c>
      <c r="W120">
        <v>953113650.75259995</v>
      </c>
      <c r="X120">
        <f t="shared" ref="X120" si="561">SUM($D$120+$E$120)</f>
        <v>1193368156.7526</v>
      </c>
      <c r="Y120">
        <v>240254506</v>
      </c>
      <c r="Z120">
        <v>953113650.75259995</v>
      </c>
      <c r="AA120">
        <f t="shared" ref="AA120" si="562">SUM($D$120+$E$120)</f>
        <v>1193368156.7526</v>
      </c>
      <c r="AB120">
        <v>240254506</v>
      </c>
      <c r="AC120">
        <v>953113650.75259995</v>
      </c>
      <c r="AD120">
        <f t="shared" ref="AD120" si="563">SUM($D$120+$E$120)</f>
        <v>1193368156.7526</v>
      </c>
      <c r="AE120">
        <v>240254506</v>
      </c>
      <c r="AF120">
        <v>953113650.75259995</v>
      </c>
      <c r="AG120">
        <f t="shared" ref="AG120" si="564">SUM($D$120+$E$120)</f>
        <v>1193368156.7526</v>
      </c>
      <c r="AH120">
        <v>240254506</v>
      </c>
      <c r="AI120">
        <v>953113650.75259995</v>
      </c>
      <c r="AJ120">
        <f t="shared" ref="AJ120" si="565">SUM($D$120+$E$120)</f>
        <v>1193368156.7526</v>
      </c>
      <c r="AK120">
        <v>240254506</v>
      </c>
      <c r="AL120">
        <v>953113650.75259995</v>
      </c>
      <c r="AM120">
        <f t="shared" ref="AM120" si="566">SUM($D$120+$E$120)</f>
        <v>1193368156.7526</v>
      </c>
      <c r="AN120">
        <v>240254506</v>
      </c>
      <c r="AO120">
        <v>953113650.75259995</v>
      </c>
      <c r="AP120">
        <f t="shared" ref="AP120" si="567">SUM($D$120+$E$120)</f>
        <v>1193368156.7526</v>
      </c>
      <c r="AQ120">
        <v>240254506</v>
      </c>
      <c r="AR120">
        <v>953113650.75259995</v>
      </c>
      <c r="AS120">
        <f t="shared" ref="AS120" si="568">SUM($D$120+$E$120)</f>
        <v>1193368156.7526</v>
      </c>
      <c r="AT120">
        <v>249400136</v>
      </c>
      <c r="AU120">
        <v>1004134827.5632</v>
      </c>
      <c r="AV120">
        <f>SUM($AT$120+$AU$120)</f>
        <v>1253534963.5632</v>
      </c>
      <c r="AX120" s="57">
        <f t="shared" si="30"/>
        <v>5.0417640583209744E-2</v>
      </c>
      <c r="AY120" s="57"/>
    </row>
    <row r="121" spans="2:51">
      <c r="B121" t="s">
        <v>404</v>
      </c>
      <c r="C121" t="s">
        <v>380</v>
      </c>
      <c r="D121">
        <v>43862145</v>
      </c>
      <c r="E121">
        <v>34019479.662</v>
      </c>
      <c r="F121">
        <f>SUM($D$121+$E$121)</f>
        <v>77881624.662</v>
      </c>
      <c r="G121">
        <v>43862145</v>
      </c>
      <c r="H121">
        <v>34019479.662</v>
      </c>
      <c r="I121">
        <f t="shared" ref="I121" si="569">SUM($D$121+$E$121)</f>
        <v>77881624.662</v>
      </c>
      <c r="J121">
        <v>43862145</v>
      </c>
      <c r="K121">
        <v>34019479.662</v>
      </c>
      <c r="L121">
        <f t="shared" ref="L121" si="570">SUM($D$121+$E$121)</f>
        <v>77881624.662</v>
      </c>
      <c r="M121">
        <v>43862145</v>
      </c>
      <c r="N121">
        <v>34019479.662</v>
      </c>
      <c r="O121">
        <f t="shared" ref="O121" si="571">SUM($D$121+$E$121)</f>
        <v>77881624.662</v>
      </c>
      <c r="P121">
        <v>43862145</v>
      </c>
      <c r="Q121">
        <v>34019479.662</v>
      </c>
      <c r="R121">
        <f t="shared" ref="R121" si="572">SUM($D$121+$E$121)</f>
        <v>77881624.662</v>
      </c>
      <c r="S121">
        <v>43862145</v>
      </c>
      <c r="T121">
        <v>34019479.662</v>
      </c>
      <c r="U121">
        <f t="shared" ref="U121" si="573">SUM($D$121+$E$121)</f>
        <v>77881624.662</v>
      </c>
      <c r="V121">
        <v>43862145</v>
      </c>
      <c r="W121">
        <v>34019479.662</v>
      </c>
      <c r="X121">
        <f t="shared" ref="X121" si="574">SUM($D$121+$E$121)</f>
        <v>77881624.662</v>
      </c>
      <c r="Y121">
        <v>43862145</v>
      </c>
      <c r="Z121">
        <v>34019479.662</v>
      </c>
      <c r="AA121">
        <f t="shared" ref="AA121" si="575">SUM($D$121+$E$121)</f>
        <v>77881624.662</v>
      </c>
      <c r="AB121">
        <v>43862145</v>
      </c>
      <c r="AC121">
        <v>34019479.662</v>
      </c>
      <c r="AD121">
        <f t="shared" ref="AD121" si="576">SUM($D$121+$E$121)</f>
        <v>77881624.662</v>
      </c>
      <c r="AE121">
        <v>43862145</v>
      </c>
      <c r="AF121">
        <v>34019479.662</v>
      </c>
      <c r="AG121">
        <f t="shared" ref="AG121" si="577">SUM($D$121+$E$121)</f>
        <v>77881624.662</v>
      </c>
      <c r="AH121">
        <v>43862145</v>
      </c>
      <c r="AI121">
        <v>34019479.662</v>
      </c>
      <c r="AJ121">
        <f t="shared" ref="AJ121" si="578">SUM($D$121+$E$121)</f>
        <v>77881624.662</v>
      </c>
      <c r="AK121">
        <v>43862145</v>
      </c>
      <c r="AL121">
        <v>34019479.662</v>
      </c>
      <c r="AM121">
        <f t="shared" ref="AM121" si="579">SUM($D$121+$E$121)</f>
        <v>77881624.662</v>
      </c>
      <c r="AN121">
        <v>43862145</v>
      </c>
      <c r="AO121">
        <v>34019479.662</v>
      </c>
      <c r="AP121">
        <f t="shared" ref="AP121" si="580">SUM($D$121+$E$121)</f>
        <v>77881624.662</v>
      </c>
      <c r="AQ121">
        <v>43862145</v>
      </c>
      <c r="AR121">
        <v>34019479.662</v>
      </c>
      <c r="AS121">
        <f t="shared" ref="AS121" si="581">SUM($D$121+$E$121)</f>
        <v>77881624.662</v>
      </c>
      <c r="AT121">
        <v>49847700</v>
      </c>
      <c r="AU121">
        <v>47933548.32</v>
      </c>
      <c r="AV121">
        <f>SUM($AT$121+$AU$121)</f>
        <v>97781248.319999993</v>
      </c>
      <c r="AX121" s="57">
        <f t="shared" si="30"/>
        <v>0.25551115226939292</v>
      </c>
      <c r="AY121" s="57"/>
    </row>
    <row r="122" spans="2:51">
      <c r="B122" t="s">
        <v>405</v>
      </c>
      <c r="C122" t="s">
        <v>381</v>
      </c>
      <c r="D122">
        <v>469323119</v>
      </c>
      <c r="E122">
        <v>2657729890.5850997</v>
      </c>
      <c r="F122">
        <f>SUM($D$122+$E$122)</f>
        <v>3127053009.5850997</v>
      </c>
      <c r="G122">
        <v>469323119</v>
      </c>
      <c r="H122">
        <v>2657729890.5850997</v>
      </c>
      <c r="I122">
        <f t="shared" ref="I122" si="582">SUM($D$122+$E$122)</f>
        <v>3127053009.5850997</v>
      </c>
      <c r="J122">
        <v>469323119</v>
      </c>
      <c r="K122">
        <v>2657729890.5850997</v>
      </c>
      <c r="L122">
        <f t="shared" ref="L122" si="583">SUM($D$122+$E$122)</f>
        <v>3127053009.5850997</v>
      </c>
      <c r="M122">
        <v>469323119</v>
      </c>
      <c r="N122">
        <v>2657729890.5850997</v>
      </c>
      <c r="O122">
        <f t="shared" ref="O122" si="584">SUM($D$122+$E$122)</f>
        <v>3127053009.5850997</v>
      </c>
      <c r="P122">
        <v>469323119</v>
      </c>
      <c r="Q122">
        <v>2657729890.5850997</v>
      </c>
      <c r="R122">
        <f t="shared" ref="R122" si="585">SUM($D$122+$E$122)</f>
        <v>3127053009.5850997</v>
      </c>
      <c r="S122">
        <v>469323119</v>
      </c>
      <c r="T122">
        <v>2657729890.5850997</v>
      </c>
      <c r="U122">
        <f t="shared" ref="U122" si="586">SUM($D$122+$E$122)</f>
        <v>3127053009.5850997</v>
      </c>
      <c r="V122">
        <v>469323119</v>
      </c>
      <c r="W122">
        <v>2657729890.5850997</v>
      </c>
      <c r="X122">
        <f t="shared" ref="X122" si="587">SUM($D$122+$E$122)</f>
        <v>3127053009.5850997</v>
      </c>
      <c r="Y122">
        <v>469323119</v>
      </c>
      <c r="Z122">
        <v>2657729890.5850997</v>
      </c>
      <c r="AA122">
        <f t="shared" ref="AA122" si="588">SUM($D$122+$E$122)</f>
        <v>3127053009.5850997</v>
      </c>
      <c r="AB122">
        <v>469323119</v>
      </c>
      <c r="AC122">
        <v>2657729890.5850997</v>
      </c>
      <c r="AD122">
        <f t="shared" ref="AD122" si="589">SUM($D$122+$E$122)</f>
        <v>3127053009.5850997</v>
      </c>
      <c r="AE122">
        <v>469323119</v>
      </c>
      <c r="AF122">
        <v>2657729890.5850997</v>
      </c>
      <c r="AG122">
        <f t="shared" ref="AG122" si="590">SUM($D$122+$E$122)</f>
        <v>3127053009.5850997</v>
      </c>
      <c r="AH122">
        <v>469323119</v>
      </c>
      <c r="AI122">
        <v>2657729890.5850997</v>
      </c>
      <c r="AJ122">
        <f t="shared" ref="AJ122" si="591">SUM($D$122+$E$122)</f>
        <v>3127053009.5850997</v>
      </c>
      <c r="AK122">
        <v>469323119</v>
      </c>
      <c r="AL122">
        <v>2657729890.5850997</v>
      </c>
      <c r="AM122">
        <f t="shared" ref="AM122" si="592">SUM($D$122+$E$122)</f>
        <v>3127053009.5850997</v>
      </c>
      <c r="AN122">
        <v>469323119</v>
      </c>
      <c r="AO122">
        <v>2657729890.5850997</v>
      </c>
      <c r="AP122">
        <f t="shared" ref="AP122" si="593">SUM($D$122+$E$122)</f>
        <v>3127053009.5850997</v>
      </c>
      <c r="AQ122">
        <v>469323119</v>
      </c>
      <c r="AR122">
        <v>2657729890.5850997</v>
      </c>
      <c r="AS122">
        <f t="shared" ref="AS122" si="594">SUM($D$122+$E$122)</f>
        <v>3127053009.5850997</v>
      </c>
      <c r="AT122">
        <v>541110600</v>
      </c>
      <c r="AU122">
        <v>2970967749.2999997</v>
      </c>
      <c r="AV122">
        <f>SUM($AT$122+$AU$122)</f>
        <v>3512078349.2999997</v>
      </c>
      <c r="AX122" s="57">
        <f t="shared" si="30"/>
        <v>0.1231272186735286</v>
      </c>
      <c r="AY122" s="57"/>
    </row>
    <row r="123" spans="2:51">
      <c r="B123" t="s">
        <v>406</v>
      </c>
      <c r="C123" t="s">
        <v>382</v>
      </c>
      <c r="D123">
        <v>1213631304</v>
      </c>
      <c r="E123">
        <v>13633084527.2232</v>
      </c>
      <c r="F123">
        <f>SUM($D$123+$E$123)</f>
        <v>14846715831.2232</v>
      </c>
      <c r="G123">
        <v>1213631304</v>
      </c>
      <c r="H123">
        <v>13633084527.2232</v>
      </c>
      <c r="I123">
        <f t="shared" ref="I123" si="595">SUM($D$123+$E$123)</f>
        <v>14846715831.2232</v>
      </c>
      <c r="J123">
        <v>1213631304</v>
      </c>
      <c r="K123">
        <v>13633084527.2232</v>
      </c>
      <c r="L123">
        <f t="shared" ref="L123" si="596">SUM($D$123+$E$123)</f>
        <v>14846715831.2232</v>
      </c>
      <c r="M123">
        <v>1213631304</v>
      </c>
      <c r="N123">
        <v>13633084527.2232</v>
      </c>
      <c r="O123">
        <f t="shared" ref="O123" si="597">SUM($D$123+$E$123)</f>
        <v>14846715831.2232</v>
      </c>
      <c r="P123">
        <v>1213631304</v>
      </c>
      <c r="Q123">
        <v>13633084527.2232</v>
      </c>
      <c r="R123">
        <f t="shared" ref="R123" si="598">SUM($D$123+$E$123)</f>
        <v>14846715831.2232</v>
      </c>
      <c r="S123">
        <v>1213631304</v>
      </c>
      <c r="T123">
        <v>13633084527.2232</v>
      </c>
      <c r="U123">
        <f t="shared" ref="U123" si="599">SUM($D$123+$E$123)</f>
        <v>14846715831.2232</v>
      </c>
      <c r="V123">
        <v>1213631304</v>
      </c>
      <c r="W123">
        <v>13633084527.2232</v>
      </c>
      <c r="X123">
        <f t="shared" ref="X123" si="600">SUM($D$123+$E$123)</f>
        <v>14846715831.2232</v>
      </c>
      <c r="Y123">
        <v>1213631304</v>
      </c>
      <c r="Z123">
        <v>13633084527.2232</v>
      </c>
      <c r="AA123">
        <f t="shared" ref="AA123" si="601">SUM($D$123+$E$123)</f>
        <v>14846715831.2232</v>
      </c>
      <c r="AB123">
        <v>1213631304</v>
      </c>
      <c r="AC123">
        <v>13633084527.2232</v>
      </c>
      <c r="AD123">
        <f t="shared" ref="AD123" si="602">SUM($D$123+$E$123)</f>
        <v>14846715831.2232</v>
      </c>
      <c r="AE123">
        <v>1213631304</v>
      </c>
      <c r="AF123">
        <v>13633084527.2232</v>
      </c>
      <c r="AG123">
        <f t="shared" ref="AG123" si="603">SUM($D$123+$E$123)</f>
        <v>14846715831.2232</v>
      </c>
      <c r="AH123">
        <v>1213631304</v>
      </c>
      <c r="AI123">
        <v>13633084527.2232</v>
      </c>
      <c r="AJ123">
        <f t="shared" ref="AJ123" si="604">SUM($D$123+$E$123)</f>
        <v>14846715831.2232</v>
      </c>
      <c r="AK123">
        <v>1213631304</v>
      </c>
      <c r="AL123">
        <v>13633084527.2232</v>
      </c>
      <c r="AM123">
        <f t="shared" ref="AM123" si="605">SUM($D$123+$E$123)</f>
        <v>14846715831.2232</v>
      </c>
      <c r="AN123">
        <v>1213631304</v>
      </c>
      <c r="AO123">
        <v>13633084527.2232</v>
      </c>
      <c r="AP123">
        <f t="shared" ref="AP123" si="606">SUM($D$123+$E$123)</f>
        <v>14846715831.2232</v>
      </c>
      <c r="AQ123">
        <v>1213631304</v>
      </c>
      <c r="AR123">
        <v>13633084527.2232</v>
      </c>
      <c r="AS123">
        <f t="shared" ref="AS123" si="607">SUM($D$123+$E$123)</f>
        <v>14846715831.2232</v>
      </c>
      <c r="AT123">
        <v>1322272224</v>
      </c>
      <c r="AU123">
        <v>15266293962.191999</v>
      </c>
      <c r="AV123">
        <f>SUM($AT$123+$AU$123)</f>
        <v>16588566186.191999</v>
      </c>
      <c r="AX123" s="57">
        <f t="shared" si="30"/>
        <v>0.11732226674034019</v>
      </c>
      <c r="AY123" s="57"/>
    </row>
    <row r="124" spans="2:51">
      <c r="B124" t="s">
        <v>407</v>
      </c>
      <c r="C124" t="s">
        <v>383</v>
      </c>
      <c r="D124">
        <v>713552179</v>
      </c>
      <c r="E124">
        <v>4637304256.1030998</v>
      </c>
      <c r="F124">
        <f>SUM($D$124+$E$124)</f>
        <v>5350856435.1030998</v>
      </c>
      <c r="G124">
        <v>713552179</v>
      </c>
      <c r="H124">
        <v>4637304256.1030998</v>
      </c>
      <c r="I124">
        <f t="shared" ref="I124" si="608">SUM($D$124+$E$124)</f>
        <v>5350856435.1030998</v>
      </c>
      <c r="J124">
        <v>713552179</v>
      </c>
      <c r="K124">
        <v>4637304256.1030998</v>
      </c>
      <c r="L124">
        <f t="shared" ref="L124" si="609">SUM($D$124+$E$124)</f>
        <v>5350856435.1030998</v>
      </c>
      <c r="M124">
        <v>713552179</v>
      </c>
      <c r="N124">
        <v>4637304256.1030998</v>
      </c>
      <c r="O124">
        <f t="shared" ref="O124" si="610">SUM($D$124+$E$124)</f>
        <v>5350856435.1030998</v>
      </c>
      <c r="P124">
        <v>713552179</v>
      </c>
      <c r="Q124">
        <v>4637304256.1030998</v>
      </c>
      <c r="R124">
        <f t="shared" ref="R124" si="611">SUM($D$124+$E$124)</f>
        <v>5350856435.1030998</v>
      </c>
      <c r="S124">
        <v>713552179</v>
      </c>
      <c r="T124">
        <v>4637304256.1030998</v>
      </c>
      <c r="U124">
        <f t="shared" ref="U124" si="612">SUM($D$124+$E$124)</f>
        <v>5350856435.1030998</v>
      </c>
      <c r="V124">
        <v>713552179</v>
      </c>
      <c r="W124">
        <v>4637304256.1030998</v>
      </c>
      <c r="X124">
        <f t="shared" ref="X124" si="613">SUM($D$124+$E$124)</f>
        <v>5350856435.1030998</v>
      </c>
      <c r="Y124">
        <v>713552179</v>
      </c>
      <c r="Z124">
        <v>4637304256.1030998</v>
      </c>
      <c r="AA124">
        <f t="shared" ref="AA124" si="614">SUM($D$124+$E$124)</f>
        <v>5350856435.1030998</v>
      </c>
      <c r="AB124">
        <v>713552179</v>
      </c>
      <c r="AC124">
        <v>4637304256.1030998</v>
      </c>
      <c r="AD124">
        <f t="shared" ref="AD124" si="615">SUM($D$124+$E$124)</f>
        <v>5350856435.1030998</v>
      </c>
      <c r="AE124">
        <v>713552179</v>
      </c>
      <c r="AF124">
        <v>4637304256.1030998</v>
      </c>
      <c r="AG124">
        <f t="shared" ref="AG124" si="616">SUM($D$124+$E$124)</f>
        <v>5350856435.1030998</v>
      </c>
      <c r="AH124">
        <v>713552179</v>
      </c>
      <c r="AI124">
        <v>4637304256.1030998</v>
      </c>
      <c r="AJ124">
        <f t="shared" ref="AJ124" si="617">SUM($D$124+$E$124)</f>
        <v>5350856435.1030998</v>
      </c>
      <c r="AK124">
        <v>713552179</v>
      </c>
      <c r="AL124">
        <v>4637304256.1030998</v>
      </c>
      <c r="AM124">
        <f t="shared" ref="AM124" si="618">SUM($D$124+$E$124)</f>
        <v>5350856435.1030998</v>
      </c>
      <c r="AN124">
        <v>713552179</v>
      </c>
      <c r="AO124">
        <v>4637304256.1030998</v>
      </c>
      <c r="AP124">
        <f t="shared" ref="AP124" si="619">SUM($D$124+$E$124)</f>
        <v>5350856435.1030998</v>
      </c>
      <c r="AQ124">
        <v>713552179</v>
      </c>
      <c r="AR124">
        <v>4637304256.1030998</v>
      </c>
      <c r="AS124">
        <f t="shared" ref="AS124" si="620">SUM($D$124+$E$124)</f>
        <v>5350856435.1030998</v>
      </c>
      <c r="AT124">
        <v>744359959</v>
      </c>
      <c r="AU124">
        <v>5043262030.2126999</v>
      </c>
      <c r="AV124">
        <f>SUM($AT$124+$AU$124)</f>
        <v>5787621989.2126999</v>
      </c>
      <c r="AX124" s="57">
        <f t="shared" si="30"/>
        <v>8.1625354633754865E-2</v>
      </c>
      <c r="AY124" s="57"/>
    </row>
    <row r="125" spans="2:51">
      <c r="B125" t="s">
        <v>408</v>
      </c>
      <c r="C125" t="s">
        <v>384</v>
      </c>
      <c r="D125">
        <v>610495039</v>
      </c>
      <c r="E125">
        <v>4191170541.7427998</v>
      </c>
      <c r="F125">
        <f>SUM($D$125+$E$125)</f>
        <v>4801665580.7427998</v>
      </c>
      <c r="G125">
        <v>610495039</v>
      </c>
      <c r="H125">
        <v>4191170541.7427998</v>
      </c>
      <c r="I125">
        <f t="shared" ref="I125" si="621">SUM($D$125+$E$125)</f>
        <v>4801665580.7427998</v>
      </c>
      <c r="J125">
        <v>610495039</v>
      </c>
      <c r="K125">
        <v>4191170541.7427998</v>
      </c>
      <c r="L125">
        <f t="shared" ref="L125" si="622">SUM($D$125+$E$125)</f>
        <v>4801665580.7427998</v>
      </c>
      <c r="M125">
        <v>610495039</v>
      </c>
      <c r="N125">
        <v>4191170541.7427998</v>
      </c>
      <c r="O125">
        <f t="shared" ref="O125" si="623">SUM($D$125+$E$125)</f>
        <v>4801665580.7427998</v>
      </c>
      <c r="P125">
        <v>610495039</v>
      </c>
      <c r="Q125">
        <v>4191170541.7427998</v>
      </c>
      <c r="R125">
        <f t="shared" ref="R125" si="624">SUM($D$125+$E$125)</f>
        <v>4801665580.7427998</v>
      </c>
      <c r="S125">
        <v>610495039</v>
      </c>
      <c r="T125">
        <v>4191170541.7427998</v>
      </c>
      <c r="U125">
        <f t="shared" ref="U125" si="625">SUM($D$125+$E$125)</f>
        <v>4801665580.7427998</v>
      </c>
      <c r="V125">
        <v>610495039</v>
      </c>
      <c r="W125">
        <v>4191170541.7427998</v>
      </c>
      <c r="X125">
        <f t="shared" ref="X125" si="626">SUM($D$125+$E$125)</f>
        <v>4801665580.7427998</v>
      </c>
      <c r="Y125">
        <v>610495039</v>
      </c>
      <c r="Z125">
        <v>4191170541.7427998</v>
      </c>
      <c r="AA125">
        <f t="shared" ref="AA125" si="627">SUM($D$125+$E$125)</f>
        <v>4801665580.7427998</v>
      </c>
      <c r="AB125">
        <v>610495039</v>
      </c>
      <c r="AC125">
        <v>4191170541.7427998</v>
      </c>
      <c r="AD125">
        <f t="shared" ref="AD125" si="628">SUM($D$125+$E$125)</f>
        <v>4801665580.7427998</v>
      </c>
      <c r="AE125">
        <v>610495039</v>
      </c>
      <c r="AF125">
        <v>4191170541.7427998</v>
      </c>
      <c r="AG125">
        <f t="shared" ref="AG125" si="629">SUM($D$125+$E$125)</f>
        <v>4801665580.7427998</v>
      </c>
      <c r="AH125">
        <v>610495039</v>
      </c>
      <c r="AI125">
        <v>4191170541.7427998</v>
      </c>
      <c r="AJ125">
        <f t="shared" ref="AJ125" si="630">SUM($D$125+$E$125)</f>
        <v>4801665580.7427998</v>
      </c>
      <c r="AK125">
        <v>610495039</v>
      </c>
      <c r="AL125">
        <v>4191170541.7427998</v>
      </c>
      <c r="AM125">
        <f t="shared" ref="AM125" si="631">SUM($D$125+$E$125)</f>
        <v>4801665580.7427998</v>
      </c>
      <c r="AN125">
        <v>610495039</v>
      </c>
      <c r="AO125">
        <v>4191170541.7427998</v>
      </c>
      <c r="AP125">
        <f t="shared" ref="AP125" si="632">SUM($D$125+$E$125)</f>
        <v>4801665580.7427998</v>
      </c>
      <c r="AQ125">
        <v>610495039</v>
      </c>
      <c r="AR125">
        <v>4191170541.7427998</v>
      </c>
      <c r="AS125">
        <f t="shared" ref="AS125" si="633">SUM($D$125+$E$125)</f>
        <v>4801665580.7427998</v>
      </c>
      <c r="AT125">
        <v>658665394</v>
      </c>
      <c r="AU125">
        <v>4713343692.9246006</v>
      </c>
      <c r="AV125">
        <f>SUM($AT$125+$AU$125)</f>
        <v>5372009086.9246006</v>
      </c>
      <c r="AX125" s="57">
        <f t="shared" si="30"/>
        <v>0.11878034748383515</v>
      </c>
      <c r="AY125" s="57"/>
    </row>
    <row r="126" spans="2:51">
      <c r="B126" t="s">
        <v>409</v>
      </c>
      <c r="C126" t="s">
        <v>385</v>
      </c>
      <c r="D126">
        <v>292695734</v>
      </c>
      <c r="E126">
        <v>1003302437.0051999</v>
      </c>
      <c r="F126">
        <f>SUM($D$126+$E$126)</f>
        <v>1295998171.0051999</v>
      </c>
      <c r="G126">
        <v>292695734</v>
      </c>
      <c r="H126">
        <v>1003302437.0051999</v>
      </c>
      <c r="I126">
        <f t="shared" ref="I126" si="634">SUM($D$126+$E$126)</f>
        <v>1295998171.0051999</v>
      </c>
      <c r="J126">
        <v>292695734</v>
      </c>
      <c r="K126">
        <v>1003302437.0051999</v>
      </c>
      <c r="L126">
        <f t="shared" ref="L126" si="635">SUM($D$126+$E$126)</f>
        <v>1295998171.0051999</v>
      </c>
      <c r="M126">
        <v>292695734</v>
      </c>
      <c r="N126">
        <v>1003302437.0051999</v>
      </c>
      <c r="O126">
        <f t="shared" ref="O126" si="636">SUM($D$126+$E$126)</f>
        <v>1295998171.0051999</v>
      </c>
      <c r="P126">
        <v>292695734</v>
      </c>
      <c r="Q126">
        <v>1003302437.0051999</v>
      </c>
      <c r="R126">
        <f t="shared" ref="R126" si="637">SUM($D$126+$E$126)</f>
        <v>1295998171.0051999</v>
      </c>
      <c r="S126">
        <v>292695734</v>
      </c>
      <c r="T126">
        <v>1003302437.0051999</v>
      </c>
      <c r="U126">
        <f t="shared" ref="U126" si="638">SUM($D$126+$E$126)</f>
        <v>1295998171.0051999</v>
      </c>
      <c r="V126">
        <v>292695734</v>
      </c>
      <c r="W126">
        <v>1003302437.0051999</v>
      </c>
      <c r="X126">
        <f t="shared" ref="X126" si="639">SUM($D$126+$E$126)</f>
        <v>1295998171.0051999</v>
      </c>
      <c r="Y126">
        <v>292695734</v>
      </c>
      <c r="Z126">
        <v>1003302437.0051999</v>
      </c>
      <c r="AA126">
        <f t="shared" ref="AA126" si="640">SUM($D$126+$E$126)</f>
        <v>1295998171.0051999</v>
      </c>
      <c r="AB126">
        <v>292695734</v>
      </c>
      <c r="AC126">
        <v>1003302437.0051999</v>
      </c>
      <c r="AD126">
        <f t="shared" ref="AD126" si="641">SUM($D$126+$E$126)</f>
        <v>1295998171.0051999</v>
      </c>
      <c r="AE126">
        <v>292695734</v>
      </c>
      <c r="AF126">
        <v>1003302437.0051999</v>
      </c>
      <c r="AG126">
        <f t="shared" ref="AG126" si="642">SUM($D$126+$E$126)</f>
        <v>1295998171.0051999</v>
      </c>
      <c r="AH126">
        <v>292695734</v>
      </c>
      <c r="AI126">
        <v>1003302437.0051999</v>
      </c>
      <c r="AJ126">
        <f t="shared" ref="AJ126" si="643">SUM($D$126+$E$126)</f>
        <v>1295998171.0051999</v>
      </c>
      <c r="AK126">
        <v>292695734</v>
      </c>
      <c r="AL126">
        <v>1003302437.0051999</v>
      </c>
      <c r="AM126">
        <f t="shared" ref="AM126" si="644">SUM($D$126+$E$126)</f>
        <v>1295998171.0051999</v>
      </c>
      <c r="AN126">
        <v>292695734</v>
      </c>
      <c r="AO126">
        <v>1003302437.0051999</v>
      </c>
      <c r="AP126">
        <f t="shared" ref="AP126" si="645">SUM($D$126+$E$126)</f>
        <v>1295998171.0051999</v>
      </c>
      <c r="AQ126">
        <v>292695734</v>
      </c>
      <c r="AR126">
        <v>1003302437.0051999</v>
      </c>
      <c r="AS126">
        <f t="shared" ref="AS126" si="646">SUM($D$126+$E$126)</f>
        <v>1295998171.0051999</v>
      </c>
      <c r="AT126">
        <v>331881541</v>
      </c>
      <c r="AU126">
        <v>1242000290.8843</v>
      </c>
      <c r="AV126">
        <f>SUM($AT$126+$AU$126)</f>
        <v>1573881831.8843</v>
      </c>
      <c r="AX126" s="57">
        <f t="shared" si="30"/>
        <v>0.21441670759733289</v>
      </c>
      <c r="AY126" s="57"/>
    </row>
    <row r="127" spans="2:51">
      <c r="B127" t="s">
        <v>410</v>
      </c>
      <c r="C127" t="s">
        <v>386</v>
      </c>
      <c r="D127">
        <v>777179153</v>
      </c>
      <c r="E127">
        <v>5715997234.4843998</v>
      </c>
      <c r="F127">
        <f>SUM($D$127+$E$127)</f>
        <v>6493176387.4843998</v>
      </c>
      <c r="G127">
        <v>777179153</v>
      </c>
      <c r="H127">
        <v>5715997234.4843998</v>
      </c>
      <c r="I127">
        <f t="shared" ref="I127" si="647">SUM($D$127+$E$127)</f>
        <v>6493176387.4843998</v>
      </c>
      <c r="J127">
        <v>777179153</v>
      </c>
      <c r="K127">
        <v>5715997234.4843998</v>
      </c>
      <c r="L127">
        <f t="shared" ref="L127" si="648">SUM($D$127+$E$127)</f>
        <v>6493176387.4843998</v>
      </c>
      <c r="M127">
        <v>777179153</v>
      </c>
      <c r="N127">
        <v>5715997234.4843998</v>
      </c>
      <c r="O127">
        <f t="shared" ref="O127" si="649">SUM($D$127+$E$127)</f>
        <v>6493176387.4843998</v>
      </c>
      <c r="P127">
        <v>777179153</v>
      </c>
      <c r="Q127">
        <v>5715997234.4843998</v>
      </c>
      <c r="R127">
        <f t="shared" ref="R127" si="650">SUM($D$127+$E$127)</f>
        <v>6493176387.4843998</v>
      </c>
      <c r="S127">
        <v>777179153</v>
      </c>
      <c r="T127">
        <v>5715997234.4843998</v>
      </c>
      <c r="U127">
        <f t="shared" ref="U127" si="651">SUM($D$127+$E$127)</f>
        <v>6493176387.4843998</v>
      </c>
      <c r="V127">
        <v>777179153</v>
      </c>
      <c r="W127">
        <v>5715997234.4843998</v>
      </c>
      <c r="X127">
        <f t="shared" ref="X127" si="652">SUM($D$127+$E$127)</f>
        <v>6493176387.4843998</v>
      </c>
      <c r="Y127">
        <v>777179153</v>
      </c>
      <c r="Z127">
        <v>5715997234.4843998</v>
      </c>
      <c r="AA127">
        <f t="shared" ref="AA127" si="653">SUM($D$127+$E$127)</f>
        <v>6493176387.4843998</v>
      </c>
      <c r="AB127">
        <v>777179153</v>
      </c>
      <c r="AC127">
        <v>5715997234.4843998</v>
      </c>
      <c r="AD127">
        <f t="shared" ref="AD127" si="654">SUM($D$127+$E$127)</f>
        <v>6493176387.4843998</v>
      </c>
      <c r="AE127">
        <v>777179153</v>
      </c>
      <c r="AF127">
        <v>5715997234.4843998</v>
      </c>
      <c r="AG127">
        <f t="shared" ref="AG127" si="655">SUM($D$127+$E$127)</f>
        <v>6493176387.4843998</v>
      </c>
      <c r="AH127">
        <v>777179153</v>
      </c>
      <c r="AI127">
        <v>5715997234.4843998</v>
      </c>
      <c r="AJ127">
        <f t="shared" ref="AJ127" si="656">SUM($D$127+$E$127)</f>
        <v>6493176387.4843998</v>
      </c>
      <c r="AK127">
        <v>777179153</v>
      </c>
      <c r="AL127">
        <v>5715997234.4843998</v>
      </c>
      <c r="AM127">
        <f t="shared" ref="AM127" si="657">SUM($D$127+$E$127)</f>
        <v>6493176387.4843998</v>
      </c>
      <c r="AN127">
        <v>777179153</v>
      </c>
      <c r="AO127">
        <v>5715997234.4843998</v>
      </c>
      <c r="AP127">
        <f t="shared" ref="AP127" si="658">SUM($D$127+$E$127)</f>
        <v>6493176387.4843998</v>
      </c>
      <c r="AQ127">
        <v>777179153</v>
      </c>
      <c r="AR127">
        <v>5715997234.4843998</v>
      </c>
      <c r="AS127">
        <f t="shared" ref="AS127" si="659">SUM($D$127+$E$127)</f>
        <v>6493176387.4843998</v>
      </c>
      <c r="AT127">
        <v>801294440</v>
      </c>
      <c r="AU127">
        <v>5996887588.96</v>
      </c>
      <c r="AV127">
        <f>SUM($AT$127+$AU$127)</f>
        <v>6798182028.96</v>
      </c>
      <c r="AX127" s="57">
        <f t="shared" si="30"/>
        <v>4.6973256735100888E-2</v>
      </c>
      <c r="AY127" s="57"/>
    </row>
    <row r="128" spans="2:51">
      <c r="B128" t="s">
        <v>411</v>
      </c>
      <c r="C128" t="s">
        <v>387</v>
      </c>
      <c r="D128">
        <v>44207303</v>
      </c>
      <c r="E128">
        <v>59246627.480600007</v>
      </c>
      <c r="F128">
        <f>SUM($D$128+$E$128)</f>
        <v>103453930.4806</v>
      </c>
      <c r="G128">
        <v>44207303</v>
      </c>
      <c r="H128">
        <v>59246627.480600007</v>
      </c>
      <c r="I128">
        <f t="shared" ref="I128" si="660">SUM($D$128+$E$128)</f>
        <v>103453930.4806</v>
      </c>
      <c r="J128">
        <v>44207303</v>
      </c>
      <c r="K128">
        <v>59246627.480600007</v>
      </c>
      <c r="L128">
        <f t="shared" ref="L128" si="661">SUM($D$128+$E$128)</f>
        <v>103453930.4806</v>
      </c>
      <c r="M128">
        <v>44207303</v>
      </c>
      <c r="N128">
        <v>59246627.480600007</v>
      </c>
      <c r="O128">
        <f t="shared" ref="O128" si="662">SUM($D$128+$E$128)</f>
        <v>103453930.4806</v>
      </c>
      <c r="P128">
        <v>44207303</v>
      </c>
      <c r="Q128">
        <v>59246627.480600007</v>
      </c>
      <c r="R128">
        <f t="shared" ref="R128" si="663">SUM($D$128+$E$128)</f>
        <v>103453930.4806</v>
      </c>
      <c r="S128">
        <v>44207303</v>
      </c>
      <c r="T128">
        <v>59246627.480600007</v>
      </c>
      <c r="U128">
        <f t="shared" ref="U128" si="664">SUM($D$128+$E$128)</f>
        <v>103453930.4806</v>
      </c>
      <c r="V128">
        <v>44207303</v>
      </c>
      <c r="W128">
        <v>59246627.480600007</v>
      </c>
      <c r="X128">
        <f t="shared" ref="X128" si="665">SUM($D$128+$E$128)</f>
        <v>103453930.4806</v>
      </c>
      <c r="Y128">
        <v>44207303</v>
      </c>
      <c r="Z128">
        <v>59246627.480600007</v>
      </c>
      <c r="AA128">
        <f t="shared" ref="AA128" si="666">SUM($D$128+$E$128)</f>
        <v>103453930.4806</v>
      </c>
      <c r="AB128">
        <v>44207303</v>
      </c>
      <c r="AC128">
        <v>59246627.480600007</v>
      </c>
      <c r="AD128">
        <f t="shared" ref="AD128" si="667">SUM($D$128+$E$128)</f>
        <v>103453930.4806</v>
      </c>
      <c r="AE128">
        <v>44207303</v>
      </c>
      <c r="AF128">
        <v>59246627.480600007</v>
      </c>
      <c r="AG128">
        <f t="shared" ref="AG128" si="668">SUM($D$128+$E$128)</f>
        <v>103453930.4806</v>
      </c>
      <c r="AH128">
        <v>44207303</v>
      </c>
      <c r="AI128">
        <v>59246627.480600007</v>
      </c>
      <c r="AJ128">
        <f t="shared" ref="AJ128" si="669">SUM($D$128+$E$128)</f>
        <v>103453930.4806</v>
      </c>
      <c r="AK128">
        <v>44207303</v>
      </c>
      <c r="AL128">
        <v>59246627.480600007</v>
      </c>
      <c r="AM128">
        <f t="shared" ref="AM128" si="670">SUM($D$128+$E$128)</f>
        <v>103453930.4806</v>
      </c>
      <c r="AN128">
        <v>44207303</v>
      </c>
      <c r="AO128">
        <v>59246627.480600007</v>
      </c>
      <c r="AP128">
        <f t="shared" ref="AP128" si="671">SUM($D$128+$E$128)</f>
        <v>103453930.4806</v>
      </c>
      <c r="AQ128">
        <v>44207303</v>
      </c>
      <c r="AR128">
        <v>59246627.480600007</v>
      </c>
      <c r="AS128">
        <f t="shared" ref="AS128" si="672">SUM($D$128+$E$128)</f>
        <v>103453930.4806</v>
      </c>
      <c r="AT128">
        <v>72936158</v>
      </c>
      <c r="AU128">
        <v>120541588.3266</v>
      </c>
      <c r="AV128">
        <f>SUM($AT$128+$AU$128)</f>
        <v>193477746.32660002</v>
      </c>
      <c r="AX128" s="57">
        <f t="shared" si="30"/>
        <v>0.87018265451868504</v>
      </c>
      <c r="AY128" s="57"/>
    </row>
    <row r="129" spans="2:51">
      <c r="B129" t="s">
        <v>412</v>
      </c>
      <c r="C129" t="s">
        <v>388</v>
      </c>
      <c r="D129">
        <v>392676156</v>
      </c>
      <c r="E129">
        <v>1800420175.26</v>
      </c>
      <c r="F129">
        <f>SUM($D$129+$E$129)</f>
        <v>2193096331.2600002</v>
      </c>
      <c r="G129">
        <v>392676156</v>
      </c>
      <c r="H129">
        <v>1800420175.26</v>
      </c>
      <c r="I129">
        <f t="shared" ref="I129" si="673">SUM($D$129+$E$129)</f>
        <v>2193096331.2600002</v>
      </c>
      <c r="J129">
        <v>392676156</v>
      </c>
      <c r="K129">
        <v>1800420175.26</v>
      </c>
      <c r="L129">
        <f t="shared" ref="L129" si="674">SUM($D$129+$E$129)</f>
        <v>2193096331.2600002</v>
      </c>
      <c r="M129">
        <v>392676156</v>
      </c>
      <c r="N129">
        <v>1800420175.26</v>
      </c>
      <c r="O129">
        <f t="shared" ref="O129" si="675">SUM($D$129+$E$129)</f>
        <v>2193096331.2600002</v>
      </c>
      <c r="P129">
        <v>392676156</v>
      </c>
      <c r="Q129">
        <v>1800420175.26</v>
      </c>
      <c r="R129">
        <f t="shared" ref="R129" si="676">SUM($D$129+$E$129)</f>
        <v>2193096331.2600002</v>
      </c>
      <c r="S129">
        <v>392676156</v>
      </c>
      <c r="T129">
        <v>1800420175.26</v>
      </c>
      <c r="U129">
        <f t="shared" ref="U129" si="677">SUM($D$129+$E$129)</f>
        <v>2193096331.2600002</v>
      </c>
      <c r="V129">
        <v>392676156</v>
      </c>
      <c r="W129">
        <v>1800420175.26</v>
      </c>
      <c r="X129">
        <f t="shared" ref="X129" si="678">SUM($D$129+$E$129)</f>
        <v>2193096331.2600002</v>
      </c>
      <c r="Y129">
        <v>392676156</v>
      </c>
      <c r="Z129">
        <v>1800420175.26</v>
      </c>
      <c r="AA129">
        <f t="shared" ref="AA129" si="679">SUM($D$129+$E$129)</f>
        <v>2193096331.2600002</v>
      </c>
      <c r="AB129">
        <v>392676156</v>
      </c>
      <c r="AC129">
        <v>1800420175.26</v>
      </c>
      <c r="AD129">
        <f t="shared" ref="AD129" si="680">SUM($D$129+$E$129)</f>
        <v>2193096331.2600002</v>
      </c>
      <c r="AE129">
        <v>392676156</v>
      </c>
      <c r="AF129">
        <v>1800420175.26</v>
      </c>
      <c r="AG129">
        <f t="shared" ref="AG129" si="681">SUM($D$129+$E$129)</f>
        <v>2193096331.2600002</v>
      </c>
      <c r="AH129">
        <v>392676156</v>
      </c>
      <c r="AI129">
        <v>1800420175.26</v>
      </c>
      <c r="AJ129">
        <f t="shared" ref="AJ129" si="682">SUM($D$129+$E$129)</f>
        <v>2193096331.2600002</v>
      </c>
      <c r="AK129">
        <v>392676156</v>
      </c>
      <c r="AL129">
        <v>1800420175.26</v>
      </c>
      <c r="AM129">
        <f t="shared" ref="AM129" si="683">SUM($D$129+$E$129)</f>
        <v>2193096331.2600002</v>
      </c>
      <c r="AN129">
        <v>392676156</v>
      </c>
      <c r="AO129">
        <v>1800420175.26</v>
      </c>
      <c r="AP129">
        <f t="shared" ref="AP129" si="684">SUM($D$129+$E$129)</f>
        <v>2193096331.2600002</v>
      </c>
      <c r="AQ129">
        <v>392676156</v>
      </c>
      <c r="AR129">
        <v>1800420175.26</v>
      </c>
      <c r="AS129">
        <f t="shared" ref="AS129" si="685">SUM($D$129+$E$129)</f>
        <v>2193096331.2600002</v>
      </c>
      <c r="AT129">
        <v>421021201</v>
      </c>
      <c r="AU129">
        <v>2020733356.3195999</v>
      </c>
      <c r="AV129">
        <f>SUM($AT$129+$AU$129)</f>
        <v>2441754557.3196001</v>
      </c>
      <c r="AX129" s="57">
        <f t="shared" si="30"/>
        <v>0.11338226347619584</v>
      </c>
      <c r="AY129" s="57"/>
    </row>
    <row r="130" spans="2:51">
      <c r="B130" t="s">
        <v>413</v>
      </c>
      <c r="C130" t="s">
        <v>389</v>
      </c>
      <c r="D130">
        <v>162200032</v>
      </c>
      <c r="E130">
        <v>303784439.93279999</v>
      </c>
      <c r="F130">
        <f>SUM($D$130+$E$130)</f>
        <v>465984471.93279999</v>
      </c>
      <c r="G130">
        <v>162200032</v>
      </c>
      <c r="H130">
        <v>303784439.93279999</v>
      </c>
      <c r="I130">
        <f t="shared" ref="I130" si="686">SUM($D$130+$E$130)</f>
        <v>465984471.93279999</v>
      </c>
      <c r="J130">
        <v>162200032</v>
      </c>
      <c r="K130">
        <v>303784439.93279999</v>
      </c>
      <c r="L130">
        <f t="shared" ref="L130" si="687">SUM($D$130+$E$130)</f>
        <v>465984471.93279999</v>
      </c>
      <c r="M130">
        <v>162200032</v>
      </c>
      <c r="N130">
        <v>303784439.93279999</v>
      </c>
      <c r="O130">
        <f t="shared" ref="O130" si="688">SUM($D$130+$E$130)</f>
        <v>465984471.93279999</v>
      </c>
      <c r="P130">
        <v>162200032</v>
      </c>
      <c r="Q130">
        <v>303784439.93279999</v>
      </c>
      <c r="R130">
        <f t="shared" ref="R130" si="689">SUM($D$130+$E$130)</f>
        <v>465984471.93279999</v>
      </c>
      <c r="S130">
        <v>162200032</v>
      </c>
      <c r="T130">
        <v>303784439.93279999</v>
      </c>
      <c r="U130">
        <f t="shared" ref="U130" si="690">SUM($D$130+$E$130)</f>
        <v>465984471.93279999</v>
      </c>
      <c r="V130">
        <v>162200032</v>
      </c>
      <c r="W130">
        <v>303784439.93279999</v>
      </c>
      <c r="X130">
        <f t="shared" ref="X130" si="691">SUM($D$130+$E$130)</f>
        <v>465984471.93279999</v>
      </c>
      <c r="Y130">
        <v>162200032</v>
      </c>
      <c r="Z130">
        <v>303784439.93279999</v>
      </c>
      <c r="AA130">
        <f t="shared" ref="AA130" si="692">SUM($D$130+$E$130)</f>
        <v>465984471.93279999</v>
      </c>
      <c r="AB130">
        <v>162200032</v>
      </c>
      <c r="AC130">
        <v>303784439.93279999</v>
      </c>
      <c r="AD130">
        <f t="shared" ref="AD130" si="693">SUM($D$130+$E$130)</f>
        <v>465984471.93279999</v>
      </c>
      <c r="AE130">
        <v>162200032</v>
      </c>
      <c r="AF130">
        <v>303784439.93279999</v>
      </c>
      <c r="AG130">
        <f t="shared" ref="AG130" si="694">SUM($D$130+$E$130)</f>
        <v>465984471.93279999</v>
      </c>
      <c r="AH130">
        <v>162200032</v>
      </c>
      <c r="AI130">
        <v>303784439.93279999</v>
      </c>
      <c r="AJ130">
        <f t="shared" ref="AJ130" si="695">SUM($D$130+$E$130)</f>
        <v>465984471.93279999</v>
      </c>
      <c r="AK130">
        <v>162200032</v>
      </c>
      <c r="AL130">
        <v>303784439.93279999</v>
      </c>
      <c r="AM130">
        <f t="shared" ref="AM130" si="696">SUM($D$130+$E$130)</f>
        <v>465984471.93279999</v>
      </c>
      <c r="AN130">
        <v>162200032</v>
      </c>
      <c r="AO130">
        <v>303784439.93279999</v>
      </c>
      <c r="AP130">
        <f t="shared" ref="AP130" si="697">SUM($D$130+$E$130)</f>
        <v>465984471.93279999</v>
      </c>
      <c r="AQ130">
        <v>162200032</v>
      </c>
      <c r="AR130">
        <v>303784439.93279999</v>
      </c>
      <c r="AS130">
        <f t="shared" ref="AS130" si="698">SUM($D$130+$E$130)</f>
        <v>465984471.93279999</v>
      </c>
      <c r="AT130">
        <v>181375297</v>
      </c>
      <c r="AU130">
        <v>380343997.80899996</v>
      </c>
      <c r="AV130">
        <f>SUM($AT$130+$AU$130)</f>
        <v>561719294.80900002</v>
      </c>
      <c r="AX130" s="57">
        <f t="shared" si="30"/>
        <v>0.20544637996007298</v>
      </c>
      <c r="AY130" s="57"/>
    </row>
    <row r="131" spans="2:51">
      <c r="B131" t="s">
        <v>414</v>
      </c>
      <c r="C131" t="s">
        <v>390</v>
      </c>
      <c r="D131">
        <v>465608727</v>
      </c>
      <c r="E131">
        <v>2024978914.5957</v>
      </c>
      <c r="F131">
        <f>SUM($D$131+$E$131)</f>
        <v>2490587641.5957003</v>
      </c>
      <c r="G131">
        <v>465608727</v>
      </c>
      <c r="H131">
        <v>2024978914.5957</v>
      </c>
      <c r="I131">
        <f t="shared" ref="I131" si="699">SUM($D$131+$E$131)</f>
        <v>2490587641.5957003</v>
      </c>
      <c r="J131">
        <v>465608727</v>
      </c>
      <c r="K131">
        <v>2024978914.5957</v>
      </c>
      <c r="L131">
        <f t="shared" ref="L131" si="700">SUM($D$131+$E$131)</f>
        <v>2490587641.5957003</v>
      </c>
      <c r="M131">
        <v>465608727</v>
      </c>
      <c r="N131">
        <v>2024978914.5957</v>
      </c>
      <c r="O131">
        <f t="shared" ref="O131" si="701">SUM($D$131+$E$131)</f>
        <v>2490587641.5957003</v>
      </c>
      <c r="P131">
        <v>465608727</v>
      </c>
      <c r="Q131">
        <v>2024978914.5957</v>
      </c>
      <c r="R131">
        <f t="shared" ref="R131" si="702">SUM($D$131+$E$131)</f>
        <v>2490587641.5957003</v>
      </c>
      <c r="S131">
        <v>465608727</v>
      </c>
      <c r="T131">
        <v>2024978914.5957</v>
      </c>
      <c r="U131">
        <f t="shared" ref="U131" si="703">SUM($D$131+$E$131)</f>
        <v>2490587641.5957003</v>
      </c>
      <c r="V131">
        <v>465608727</v>
      </c>
      <c r="W131">
        <v>2024978914.5957</v>
      </c>
      <c r="X131">
        <f t="shared" ref="X131" si="704">SUM($D$131+$E$131)</f>
        <v>2490587641.5957003</v>
      </c>
      <c r="Y131">
        <v>465608727</v>
      </c>
      <c r="Z131">
        <v>2024978914.5957</v>
      </c>
      <c r="AA131">
        <f t="shared" ref="AA131" si="705">SUM($D$131+$E$131)</f>
        <v>2490587641.5957003</v>
      </c>
      <c r="AB131">
        <v>465608727</v>
      </c>
      <c r="AC131">
        <v>2024978914.5957</v>
      </c>
      <c r="AD131">
        <f t="shared" ref="AD131" si="706">SUM($D$131+$E$131)</f>
        <v>2490587641.5957003</v>
      </c>
      <c r="AE131">
        <v>465608727</v>
      </c>
      <c r="AF131">
        <v>2024978914.5957</v>
      </c>
      <c r="AG131">
        <f t="shared" ref="AG131" si="707">SUM($D$131+$E$131)</f>
        <v>2490587641.5957003</v>
      </c>
      <c r="AH131">
        <v>465608727</v>
      </c>
      <c r="AI131">
        <v>2024978914.5957</v>
      </c>
      <c r="AJ131">
        <f t="shared" ref="AJ131" si="708">SUM($D$131+$E$131)</f>
        <v>2490587641.5957003</v>
      </c>
      <c r="AK131">
        <v>465608727</v>
      </c>
      <c r="AL131">
        <v>2024978914.5957</v>
      </c>
      <c r="AM131">
        <f t="shared" ref="AM131" si="709">SUM($D$131+$E$131)</f>
        <v>2490587641.5957003</v>
      </c>
      <c r="AN131">
        <v>465608727</v>
      </c>
      <c r="AO131">
        <v>2024978914.5957</v>
      </c>
      <c r="AP131">
        <f t="shared" ref="AP131" si="710">SUM($D$131+$E$131)</f>
        <v>2490587641.5957003</v>
      </c>
      <c r="AQ131">
        <v>465608727</v>
      </c>
      <c r="AR131">
        <v>2024978914.5957</v>
      </c>
      <c r="AS131">
        <f t="shared" ref="AS131" si="711">SUM($D$131+$E$131)</f>
        <v>2490587641.5957003</v>
      </c>
      <c r="AT131">
        <v>488925492</v>
      </c>
      <c r="AU131">
        <v>2217912709.3596001</v>
      </c>
      <c r="AV131">
        <f>SUM($AT$131+$AU$131)</f>
        <v>2706838201.3596001</v>
      </c>
      <c r="AX131" s="57">
        <f t="shared" si="30"/>
        <v>8.682712310631624E-2</v>
      </c>
      <c r="AY131" s="57"/>
    </row>
    <row r="132" spans="2:51">
      <c r="B132" t="s">
        <v>415</v>
      </c>
      <c r="C132" t="s">
        <v>391</v>
      </c>
      <c r="D132">
        <v>326771513</v>
      </c>
      <c r="E132">
        <v>868068524.28449988</v>
      </c>
      <c r="F132">
        <f>SUM($D$132+$E$132)</f>
        <v>1194840037.2844999</v>
      </c>
      <c r="G132">
        <v>326771513</v>
      </c>
      <c r="H132">
        <v>868068524.28449988</v>
      </c>
      <c r="I132">
        <f t="shared" ref="I132" si="712">SUM($D$132+$E$132)</f>
        <v>1194840037.2844999</v>
      </c>
      <c r="J132">
        <v>326771513</v>
      </c>
      <c r="K132">
        <v>868068524.28449988</v>
      </c>
      <c r="L132">
        <f t="shared" ref="L132" si="713">SUM($D$132+$E$132)</f>
        <v>1194840037.2844999</v>
      </c>
      <c r="M132">
        <v>326771513</v>
      </c>
      <c r="N132">
        <v>868068524.28449988</v>
      </c>
      <c r="O132">
        <f t="shared" ref="O132" si="714">SUM($D$132+$E$132)</f>
        <v>1194840037.2844999</v>
      </c>
      <c r="P132">
        <v>326771513</v>
      </c>
      <c r="Q132">
        <v>868068524.28449988</v>
      </c>
      <c r="R132">
        <f t="shared" ref="R132" si="715">SUM($D$132+$E$132)</f>
        <v>1194840037.2844999</v>
      </c>
      <c r="S132">
        <v>326771513</v>
      </c>
      <c r="T132">
        <v>868068524.28449988</v>
      </c>
      <c r="U132">
        <f t="shared" ref="U132" si="716">SUM($D$132+$E$132)</f>
        <v>1194840037.2844999</v>
      </c>
      <c r="V132">
        <v>326771513</v>
      </c>
      <c r="W132">
        <v>868068524.28449988</v>
      </c>
      <c r="X132">
        <f t="shared" ref="X132" si="717">SUM($D$132+$E$132)</f>
        <v>1194840037.2844999</v>
      </c>
      <c r="Y132">
        <v>326771513</v>
      </c>
      <c r="Z132">
        <v>868068524.28449988</v>
      </c>
      <c r="AA132">
        <f t="shared" ref="AA132" si="718">SUM($D$132+$E$132)</f>
        <v>1194840037.2844999</v>
      </c>
      <c r="AB132">
        <v>326771513</v>
      </c>
      <c r="AC132">
        <v>868068524.28449988</v>
      </c>
      <c r="AD132">
        <f t="shared" ref="AD132" si="719">SUM($D$132+$E$132)</f>
        <v>1194840037.2844999</v>
      </c>
      <c r="AE132">
        <v>326771513</v>
      </c>
      <c r="AF132">
        <v>868068524.28449988</v>
      </c>
      <c r="AG132">
        <f t="shared" ref="AG132" si="720">SUM($D$132+$E$132)</f>
        <v>1194840037.2844999</v>
      </c>
      <c r="AH132">
        <v>326771513</v>
      </c>
      <c r="AI132">
        <v>868068524.28449988</v>
      </c>
      <c r="AJ132">
        <f t="shared" ref="AJ132" si="721">SUM($D$132+$E$132)</f>
        <v>1194840037.2844999</v>
      </c>
      <c r="AK132">
        <v>326771513</v>
      </c>
      <c r="AL132">
        <v>868068524.28449988</v>
      </c>
      <c r="AM132">
        <f t="shared" ref="AM132" si="722">SUM($D$132+$E$132)</f>
        <v>1194840037.2844999</v>
      </c>
      <c r="AN132">
        <v>326771513</v>
      </c>
      <c r="AO132">
        <v>868068524.28449988</v>
      </c>
      <c r="AP132">
        <f t="shared" ref="AP132" si="723">SUM($D$132+$E$132)</f>
        <v>1194840037.2844999</v>
      </c>
      <c r="AQ132">
        <v>326771513</v>
      </c>
      <c r="AR132">
        <v>868068524.28449988</v>
      </c>
      <c r="AS132">
        <f t="shared" ref="AS132" si="724">SUM($D$132+$E$132)</f>
        <v>1194840037.2844999</v>
      </c>
      <c r="AT132">
        <v>403565056</v>
      </c>
      <c r="AU132">
        <v>1156536737.4847999</v>
      </c>
      <c r="AV132">
        <f>SUM($AT$132+$AU$132)</f>
        <v>1560101793.4847999</v>
      </c>
      <c r="AX132" s="57">
        <f t="shared" ref="AX132:AX140" si="725">AV132/AS132-1</f>
        <v>0.30569929430087273</v>
      </c>
      <c r="AY132" s="57"/>
    </row>
    <row r="133" spans="2:51">
      <c r="B133" t="s">
        <v>416</v>
      </c>
      <c r="C133" t="s">
        <v>392</v>
      </c>
      <c r="D133">
        <v>1214635449</v>
      </c>
      <c r="E133">
        <v>13270742525.139299</v>
      </c>
      <c r="F133">
        <f>SUM($D$133+$E$133)</f>
        <v>14485377974.139299</v>
      </c>
      <c r="G133">
        <v>1214635449</v>
      </c>
      <c r="H133">
        <v>13270742525.139299</v>
      </c>
      <c r="I133">
        <f t="shared" ref="I133" si="726">SUM($D$133+$E$133)</f>
        <v>14485377974.139299</v>
      </c>
      <c r="J133">
        <v>1214635449</v>
      </c>
      <c r="K133">
        <v>13270742525.139299</v>
      </c>
      <c r="L133">
        <f t="shared" ref="L133" si="727">SUM($D$133+$E$133)</f>
        <v>14485377974.139299</v>
      </c>
      <c r="M133">
        <v>1214635449</v>
      </c>
      <c r="N133">
        <v>13270742525.139299</v>
      </c>
      <c r="O133">
        <f t="shared" ref="O133" si="728">SUM($D$133+$E$133)</f>
        <v>14485377974.139299</v>
      </c>
      <c r="P133">
        <v>1214635449</v>
      </c>
      <c r="Q133">
        <v>13270742525.139299</v>
      </c>
      <c r="R133">
        <f t="shared" ref="R133" si="729">SUM($D$133+$E$133)</f>
        <v>14485377974.139299</v>
      </c>
      <c r="S133">
        <v>1214635449</v>
      </c>
      <c r="T133">
        <v>13270742525.139299</v>
      </c>
      <c r="U133">
        <f t="shared" ref="U133" si="730">SUM($D$133+$E$133)</f>
        <v>14485377974.139299</v>
      </c>
      <c r="V133">
        <v>1214635449</v>
      </c>
      <c r="W133">
        <v>13270742525.139299</v>
      </c>
      <c r="X133">
        <f t="shared" ref="X133" si="731">SUM($D$133+$E$133)</f>
        <v>14485377974.139299</v>
      </c>
      <c r="Y133">
        <v>1214635449</v>
      </c>
      <c r="Z133">
        <v>13270742525.139299</v>
      </c>
      <c r="AA133">
        <f t="shared" ref="AA133" si="732">SUM($D$133+$E$133)</f>
        <v>14485377974.139299</v>
      </c>
      <c r="AB133">
        <v>1214635449</v>
      </c>
      <c r="AC133">
        <v>13270742525.139299</v>
      </c>
      <c r="AD133">
        <f t="shared" ref="AD133" si="733">SUM($D$133+$E$133)</f>
        <v>14485377974.139299</v>
      </c>
      <c r="AE133">
        <v>1214635449</v>
      </c>
      <c r="AF133">
        <v>13270742525.139299</v>
      </c>
      <c r="AG133">
        <f t="shared" ref="AG133" si="734">SUM($D$133+$E$133)</f>
        <v>14485377974.139299</v>
      </c>
      <c r="AH133">
        <v>1214635449</v>
      </c>
      <c r="AI133">
        <v>13270742525.139299</v>
      </c>
      <c r="AJ133">
        <f t="shared" ref="AJ133" si="735">SUM($D$133+$E$133)</f>
        <v>14485377974.139299</v>
      </c>
      <c r="AK133">
        <v>1214635449</v>
      </c>
      <c r="AL133">
        <v>13270742525.139299</v>
      </c>
      <c r="AM133">
        <f t="shared" ref="AM133" si="736">SUM($D$133+$E$133)</f>
        <v>14485377974.139299</v>
      </c>
      <c r="AN133">
        <v>1214635449</v>
      </c>
      <c r="AO133">
        <v>13270742525.139299</v>
      </c>
      <c r="AP133">
        <f t="shared" ref="AP133" si="737">SUM($D$133+$E$133)</f>
        <v>14485377974.139299</v>
      </c>
      <c r="AQ133">
        <v>1214635449</v>
      </c>
      <c r="AR133">
        <v>13270742525.139299</v>
      </c>
      <c r="AS133">
        <f t="shared" ref="AS133" si="738">SUM($D$133+$E$133)</f>
        <v>14485377974.139299</v>
      </c>
      <c r="AT133">
        <v>1257401909</v>
      </c>
      <c r="AU133">
        <v>14165512686.2213</v>
      </c>
      <c r="AV133">
        <f>SUM($AT$133+$AU$133)</f>
        <v>15422914595.2213</v>
      </c>
      <c r="AX133" s="57">
        <f t="shared" si="725"/>
        <v>6.4722965652382891E-2</v>
      </c>
      <c r="AY133" s="57"/>
    </row>
    <row r="134" spans="2:51">
      <c r="B134" t="s">
        <v>417</v>
      </c>
      <c r="C134" t="s">
        <v>393</v>
      </c>
      <c r="D134">
        <v>288976331</v>
      </c>
      <c r="E134">
        <v>900941507.15869999</v>
      </c>
      <c r="F134">
        <f>SUM($D$134+$E$134)</f>
        <v>1189917838.1587</v>
      </c>
      <c r="G134">
        <v>288976331</v>
      </c>
      <c r="H134">
        <v>900941507.15869999</v>
      </c>
      <c r="I134">
        <f t="shared" ref="I134" si="739">SUM($D$134+$E$134)</f>
        <v>1189917838.1587</v>
      </c>
      <c r="J134">
        <v>288976331</v>
      </c>
      <c r="K134">
        <v>900941507.15869999</v>
      </c>
      <c r="L134">
        <f t="shared" ref="L134" si="740">SUM($D$134+$E$134)</f>
        <v>1189917838.1587</v>
      </c>
      <c r="M134">
        <v>288976331</v>
      </c>
      <c r="N134">
        <v>900941507.15869999</v>
      </c>
      <c r="O134">
        <f t="shared" ref="O134" si="741">SUM($D$134+$E$134)</f>
        <v>1189917838.1587</v>
      </c>
      <c r="P134">
        <v>288976331</v>
      </c>
      <c r="Q134">
        <v>900941507.15869999</v>
      </c>
      <c r="R134">
        <f t="shared" ref="R134" si="742">SUM($D$134+$E$134)</f>
        <v>1189917838.1587</v>
      </c>
      <c r="S134">
        <v>288976331</v>
      </c>
      <c r="T134">
        <v>900941507.15869999</v>
      </c>
      <c r="U134">
        <f t="shared" ref="U134" si="743">SUM($D$134+$E$134)</f>
        <v>1189917838.1587</v>
      </c>
      <c r="V134">
        <v>288976331</v>
      </c>
      <c r="W134">
        <v>900941507.15869999</v>
      </c>
      <c r="X134">
        <f t="shared" ref="X134" si="744">SUM($D$134+$E$134)</f>
        <v>1189917838.1587</v>
      </c>
      <c r="Y134">
        <v>288976331</v>
      </c>
      <c r="Z134">
        <v>900941507.15869999</v>
      </c>
      <c r="AA134">
        <f t="shared" ref="AA134" si="745">SUM($D$134+$E$134)</f>
        <v>1189917838.1587</v>
      </c>
      <c r="AB134">
        <v>288976331</v>
      </c>
      <c r="AC134">
        <v>900941507.15869999</v>
      </c>
      <c r="AD134">
        <f t="shared" ref="AD134" si="746">SUM($D$134+$E$134)</f>
        <v>1189917838.1587</v>
      </c>
      <c r="AE134">
        <v>288976331</v>
      </c>
      <c r="AF134">
        <v>900941507.15869999</v>
      </c>
      <c r="AG134">
        <f t="shared" ref="AG134" si="747">SUM($D$134+$E$134)</f>
        <v>1189917838.1587</v>
      </c>
      <c r="AH134">
        <v>288976331</v>
      </c>
      <c r="AI134">
        <v>900941507.15869999</v>
      </c>
      <c r="AJ134">
        <f t="shared" ref="AJ134" si="748">SUM($D$134+$E$134)</f>
        <v>1189917838.1587</v>
      </c>
      <c r="AK134">
        <v>288976331</v>
      </c>
      <c r="AL134">
        <v>900941507.15869999</v>
      </c>
      <c r="AM134">
        <f t="shared" ref="AM134" si="749">SUM($D$134+$E$134)</f>
        <v>1189917838.1587</v>
      </c>
      <c r="AN134">
        <v>288976331</v>
      </c>
      <c r="AO134">
        <v>900941507.15869999</v>
      </c>
      <c r="AP134">
        <f t="shared" ref="AP134" si="750">SUM($D$134+$E$134)</f>
        <v>1189917838.1587</v>
      </c>
      <c r="AQ134">
        <v>288976331</v>
      </c>
      <c r="AR134">
        <v>900941507.15869999</v>
      </c>
      <c r="AS134">
        <f t="shared" ref="AS134" si="751">SUM($D$134+$E$134)</f>
        <v>1189917838.1587</v>
      </c>
      <c r="AT134">
        <v>323973398</v>
      </c>
      <c r="AU134">
        <v>1064187817.7504001</v>
      </c>
      <c r="AV134">
        <f>SUM($AT$134+$AU$134)</f>
        <v>1388161215.7504001</v>
      </c>
      <c r="AX134" s="57">
        <f t="shared" si="725"/>
        <v>0.16660257644213949</v>
      </c>
      <c r="AY134" s="57"/>
    </row>
    <row r="135" spans="2:51">
      <c r="B135" t="s">
        <v>418</v>
      </c>
      <c r="C135" t="s">
        <v>394</v>
      </c>
      <c r="D135">
        <v>13315061</v>
      </c>
      <c r="E135">
        <v>5714824.1812000005</v>
      </c>
      <c r="F135">
        <f>SUM($D$135+$E$135)</f>
        <v>19029885.181200001</v>
      </c>
      <c r="G135">
        <v>13315061</v>
      </c>
      <c r="H135">
        <v>5714824.1812000005</v>
      </c>
      <c r="I135">
        <f t="shared" ref="I135" si="752">SUM($D$135+$E$135)</f>
        <v>19029885.181200001</v>
      </c>
      <c r="J135">
        <v>13315061</v>
      </c>
      <c r="K135">
        <v>5714824.1812000005</v>
      </c>
      <c r="L135">
        <f t="shared" ref="L135" si="753">SUM($D$135+$E$135)</f>
        <v>19029885.181200001</v>
      </c>
      <c r="M135">
        <v>13315061</v>
      </c>
      <c r="N135">
        <v>5714824.1812000005</v>
      </c>
      <c r="O135">
        <f t="shared" ref="O135" si="754">SUM($D$135+$E$135)</f>
        <v>19029885.181200001</v>
      </c>
      <c r="P135">
        <v>13315061</v>
      </c>
      <c r="Q135">
        <v>5714824.1812000005</v>
      </c>
      <c r="R135">
        <f t="shared" ref="R135" si="755">SUM($D$135+$E$135)</f>
        <v>19029885.181200001</v>
      </c>
      <c r="S135">
        <v>13315061</v>
      </c>
      <c r="T135">
        <v>5714824.1812000005</v>
      </c>
      <c r="U135">
        <f t="shared" ref="U135" si="756">SUM($D$135+$E$135)</f>
        <v>19029885.181200001</v>
      </c>
      <c r="V135">
        <v>13315061</v>
      </c>
      <c r="W135">
        <v>5714824.1812000005</v>
      </c>
      <c r="X135">
        <f t="shared" ref="X135" si="757">SUM($D$135+$E$135)</f>
        <v>19029885.181200001</v>
      </c>
      <c r="Y135">
        <v>13315061</v>
      </c>
      <c r="Z135">
        <v>5714824.1812000005</v>
      </c>
      <c r="AA135">
        <f t="shared" ref="AA135" si="758">SUM($D$135+$E$135)</f>
        <v>19029885.181200001</v>
      </c>
      <c r="AB135">
        <v>13315061</v>
      </c>
      <c r="AC135">
        <v>5714824.1812000005</v>
      </c>
      <c r="AD135">
        <f t="shared" ref="AD135" si="759">SUM($D$135+$E$135)</f>
        <v>19029885.181200001</v>
      </c>
      <c r="AE135">
        <v>13315061</v>
      </c>
      <c r="AF135">
        <v>5714824.1812000005</v>
      </c>
      <c r="AG135">
        <f t="shared" ref="AG135" si="760">SUM($D$135+$E$135)</f>
        <v>19029885.181200001</v>
      </c>
      <c r="AH135">
        <v>13315061</v>
      </c>
      <c r="AI135">
        <v>5714824.1812000005</v>
      </c>
      <c r="AJ135">
        <f t="shared" ref="AJ135" si="761">SUM($D$135+$E$135)</f>
        <v>19029885.181200001</v>
      </c>
      <c r="AK135">
        <v>13315061</v>
      </c>
      <c r="AL135">
        <v>5714824.1812000005</v>
      </c>
      <c r="AM135">
        <f t="shared" ref="AM135" si="762">SUM($D$135+$E$135)</f>
        <v>19029885.181200001</v>
      </c>
      <c r="AN135">
        <v>13315061</v>
      </c>
      <c r="AO135">
        <v>5714824.1812000005</v>
      </c>
      <c r="AP135">
        <f t="shared" ref="AP135" si="763">SUM($D$135+$E$135)</f>
        <v>19029885.181200001</v>
      </c>
      <c r="AQ135">
        <v>13315061</v>
      </c>
      <c r="AR135">
        <v>5714824.1812000005</v>
      </c>
      <c r="AS135">
        <f t="shared" ref="AS135" si="764">SUM($D$135+$E$135)</f>
        <v>19029885.181200001</v>
      </c>
      <c r="AT135">
        <v>14409168</v>
      </c>
      <c r="AU135">
        <v>7363084.8480000002</v>
      </c>
      <c r="AV135">
        <f>SUM($AT$135+$AU$135)</f>
        <v>21772252.848000001</v>
      </c>
      <c r="AX135" s="57">
        <f t="shared" si="725"/>
        <v>0.14410847152715545</v>
      </c>
      <c r="AY135" s="57"/>
    </row>
    <row r="136" spans="2:51">
      <c r="B136" t="s">
        <v>419</v>
      </c>
      <c r="C136" t="s">
        <v>395</v>
      </c>
      <c r="D136">
        <v>723591256</v>
      </c>
      <c r="E136">
        <v>4721215868.0232</v>
      </c>
      <c r="F136">
        <f>SUM($D$136+$E$136)</f>
        <v>5444807124.0232</v>
      </c>
      <c r="G136">
        <v>723591256</v>
      </c>
      <c r="H136">
        <v>4721215868.0232</v>
      </c>
      <c r="I136">
        <f t="shared" ref="I136" si="765">SUM($D$136+$E$136)</f>
        <v>5444807124.0232</v>
      </c>
      <c r="J136">
        <v>723591256</v>
      </c>
      <c r="K136">
        <v>4721215868.0232</v>
      </c>
      <c r="L136">
        <f t="shared" ref="L136" si="766">SUM($D$136+$E$136)</f>
        <v>5444807124.0232</v>
      </c>
      <c r="M136">
        <v>723591256</v>
      </c>
      <c r="N136">
        <v>4721215868.0232</v>
      </c>
      <c r="O136">
        <f t="shared" ref="O136" si="767">SUM($D$136+$E$136)</f>
        <v>5444807124.0232</v>
      </c>
      <c r="P136">
        <v>723591256</v>
      </c>
      <c r="Q136">
        <v>4721215868.0232</v>
      </c>
      <c r="R136">
        <f t="shared" ref="R136" si="768">SUM($D$136+$E$136)</f>
        <v>5444807124.0232</v>
      </c>
      <c r="S136">
        <v>723591256</v>
      </c>
      <c r="T136">
        <v>4721215868.0232</v>
      </c>
      <c r="U136">
        <f t="shared" ref="U136" si="769">SUM($D$136+$E$136)</f>
        <v>5444807124.0232</v>
      </c>
      <c r="V136">
        <v>723591256</v>
      </c>
      <c r="W136">
        <v>4721215868.0232</v>
      </c>
      <c r="X136">
        <f t="shared" ref="X136" si="770">SUM($D$136+$E$136)</f>
        <v>5444807124.0232</v>
      </c>
      <c r="Y136">
        <v>723591256</v>
      </c>
      <c r="Z136">
        <v>4721215868.0232</v>
      </c>
      <c r="AA136">
        <f t="shared" ref="AA136" si="771">SUM($D$136+$E$136)</f>
        <v>5444807124.0232</v>
      </c>
      <c r="AB136">
        <v>723591256</v>
      </c>
      <c r="AC136">
        <v>4721215868.0232</v>
      </c>
      <c r="AD136">
        <f t="shared" ref="AD136" si="772">SUM($D$136+$E$136)</f>
        <v>5444807124.0232</v>
      </c>
      <c r="AE136">
        <v>723591256</v>
      </c>
      <c r="AF136">
        <v>4721215868.0232</v>
      </c>
      <c r="AG136">
        <f t="shared" ref="AG136" si="773">SUM($D$136+$E$136)</f>
        <v>5444807124.0232</v>
      </c>
      <c r="AH136">
        <v>723591256</v>
      </c>
      <c r="AI136">
        <v>4721215868.0232</v>
      </c>
      <c r="AJ136">
        <f t="shared" ref="AJ136" si="774">SUM($D$136+$E$136)</f>
        <v>5444807124.0232</v>
      </c>
      <c r="AK136">
        <v>723591256</v>
      </c>
      <c r="AL136">
        <v>4721215868.0232</v>
      </c>
      <c r="AM136">
        <f t="shared" ref="AM136" si="775">SUM($D$136+$E$136)</f>
        <v>5444807124.0232</v>
      </c>
      <c r="AN136">
        <v>723591256</v>
      </c>
      <c r="AO136">
        <v>4721215868.0232</v>
      </c>
      <c r="AP136">
        <f t="shared" ref="AP136" si="776">SUM($D$136+$E$136)</f>
        <v>5444807124.0232</v>
      </c>
      <c r="AQ136">
        <v>723591256</v>
      </c>
      <c r="AR136">
        <v>4721215868.0232</v>
      </c>
      <c r="AS136">
        <f t="shared" ref="AS136" si="777">SUM($D$136+$E$136)</f>
        <v>5444807124.0232</v>
      </c>
      <c r="AT136">
        <v>777145486</v>
      </c>
      <c r="AU136">
        <v>5467218494.0100002</v>
      </c>
      <c r="AV136">
        <f>SUM($AT$136+$AU$136)</f>
        <v>6244363980.0100002</v>
      </c>
      <c r="AX136" s="57">
        <f t="shared" si="725"/>
        <v>0.14684759951533466</v>
      </c>
      <c r="AY136" s="57"/>
    </row>
    <row r="137" spans="2:51">
      <c r="B137" t="s">
        <v>420</v>
      </c>
      <c r="C137" t="s">
        <v>396</v>
      </c>
      <c r="D137">
        <v>342774632</v>
      </c>
      <c r="E137">
        <v>1053003669.5039999</v>
      </c>
      <c r="F137">
        <f>SUM($D$137+$E$137)</f>
        <v>1395778301.5039999</v>
      </c>
      <c r="G137">
        <v>342774632</v>
      </c>
      <c r="H137">
        <v>1053003669.5039999</v>
      </c>
      <c r="I137">
        <f t="shared" ref="I137" si="778">SUM($D$137+$E$137)</f>
        <v>1395778301.5039999</v>
      </c>
      <c r="J137">
        <v>342774632</v>
      </c>
      <c r="K137">
        <v>1053003669.5039999</v>
      </c>
      <c r="L137">
        <f t="shared" ref="L137" si="779">SUM($D$137+$E$137)</f>
        <v>1395778301.5039999</v>
      </c>
      <c r="M137">
        <v>342774632</v>
      </c>
      <c r="N137">
        <v>1053003669.5039999</v>
      </c>
      <c r="O137">
        <f t="shared" ref="O137" si="780">SUM($D$137+$E$137)</f>
        <v>1395778301.5039999</v>
      </c>
      <c r="P137">
        <v>342774632</v>
      </c>
      <c r="Q137">
        <v>1053003669.5039999</v>
      </c>
      <c r="R137">
        <f t="shared" ref="R137" si="781">SUM($D$137+$E$137)</f>
        <v>1395778301.5039999</v>
      </c>
      <c r="S137">
        <v>342774632</v>
      </c>
      <c r="T137">
        <v>1053003669.5039999</v>
      </c>
      <c r="U137">
        <f t="shared" ref="U137" si="782">SUM($D$137+$E$137)</f>
        <v>1395778301.5039999</v>
      </c>
      <c r="V137">
        <v>342774632</v>
      </c>
      <c r="W137">
        <v>1053003669.5039999</v>
      </c>
      <c r="X137">
        <f t="shared" ref="X137" si="783">SUM($D$137+$E$137)</f>
        <v>1395778301.5039999</v>
      </c>
      <c r="Y137">
        <v>342774632</v>
      </c>
      <c r="Z137">
        <v>1053003669.5039999</v>
      </c>
      <c r="AA137">
        <f t="shared" ref="AA137" si="784">SUM($D$137+$E$137)</f>
        <v>1395778301.5039999</v>
      </c>
      <c r="AB137">
        <v>342774632</v>
      </c>
      <c r="AC137">
        <v>1053003669.5039999</v>
      </c>
      <c r="AD137">
        <f t="shared" ref="AD137" si="785">SUM($D$137+$E$137)</f>
        <v>1395778301.5039999</v>
      </c>
      <c r="AE137">
        <v>342774632</v>
      </c>
      <c r="AF137">
        <v>1053003669.5039999</v>
      </c>
      <c r="AG137">
        <f t="shared" ref="AG137" si="786">SUM($D$137+$E$137)</f>
        <v>1395778301.5039999</v>
      </c>
      <c r="AH137">
        <v>342774632</v>
      </c>
      <c r="AI137">
        <v>1053003669.5039999</v>
      </c>
      <c r="AJ137">
        <f t="shared" ref="AJ137" si="787">SUM($D$137+$E$137)</f>
        <v>1395778301.5039999</v>
      </c>
      <c r="AK137">
        <v>342774632</v>
      </c>
      <c r="AL137">
        <v>1053003669.5039999</v>
      </c>
      <c r="AM137">
        <f t="shared" ref="AM137" si="788">SUM($D$137+$E$137)</f>
        <v>1395778301.5039999</v>
      </c>
      <c r="AN137">
        <v>342774632</v>
      </c>
      <c r="AO137">
        <v>1053003669.5039999</v>
      </c>
      <c r="AP137">
        <f t="shared" ref="AP137" si="789">SUM($D$137+$E$137)</f>
        <v>1395778301.5039999</v>
      </c>
      <c r="AQ137">
        <v>342774632</v>
      </c>
      <c r="AR137">
        <v>1053003669.5039999</v>
      </c>
      <c r="AS137">
        <f t="shared" ref="AS137" si="790">SUM($D$137+$E$137)</f>
        <v>1395778301.5039999</v>
      </c>
      <c r="AT137">
        <v>353746582</v>
      </c>
      <c r="AU137">
        <v>1151339000.4354</v>
      </c>
      <c r="AV137">
        <f>SUM($AT$137+$AU$137)</f>
        <v>1505085582.4354</v>
      </c>
      <c r="AX137" s="57">
        <f t="shared" si="725"/>
        <v>7.8312781344729077E-2</v>
      </c>
      <c r="AY137" s="57"/>
    </row>
    <row r="138" spans="2:51">
      <c r="B138" t="s">
        <v>421</v>
      </c>
      <c r="C138" t="s">
        <v>397</v>
      </c>
      <c r="D138">
        <v>1120831166</v>
      </c>
      <c r="E138">
        <v>10752693791.021</v>
      </c>
      <c r="F138">
        <f>SUM($D$138+$E$138)</f>
        <v>11873524957.021</v>
      </c>
      <c r="G138">
        <v>1120831166</v>
      </c>
      <c r="H138">
        <v>10752693791.021</v>
      </c>
      <c r="I138">
        <f t="shared" ref="I138" si="791">SUM($D$138+$E$138)</f>
        <v>11873524957.021</v>
      </c>
      <c r="J138">
        <v>1120831166</v>
      </c>
      <c r="K138">
        <v>10752693791.021</v>
      </c>
      <c r="L138">
        <f t="shared" ref="L138" si="792">SUM($D$138+$E$138)</f>
        <v>11873524957.021</v>
      </c>
      <c r="M138">
        <v>1120831166</v>
      </c>
      <c r="N138">
        <v>10752693791.021</v>
      </c>
      <c r="O138">
        <f t="shared" ref="O138" si="793">SUM($D$138+$E$138)</f>
        <v>11873524957.021</v>
      </c>
      <c r="P138">
        <v>1120831166</v>
      </c>
      <c r="Q138">
        <v>10752693791.021</v>
      </c>
      <c r="R138">
        <f t="shared" ref="R138" si="794">SUM($D$138+$E$138)</f>
        <v>11873524957.021</v>
      </c>
      <c r="S138">
        <v>1120831166</v>
      </c>
      <c r="T138">
        <v>10752693791.021</v>
      </c>
      <c r="U138">
        <f t="shared" ref="U138" si="795">SUM($D$138+$E$138)</f>
        <v>11873524957.021</v>
      </c>
      <c r="V138">
        <v>1120831166</v>
      </c>
      <c r="W138">
        <v>10752693791.021</v>
      </c>
      <c r="X138">
        <f t="shared" ref="X138" si="796">SUM($D$138+$E$138)</f>
        <v>11873524957.021</v>
      </c>
      <c r="Y138">
        <v>1120831166</v>
      </c>
      <c r="Z138">
        <v>10752693791.021</v>
      </c>
      <c r="AA138">
        <f t="shared" ref="AA138" si="797">SUM($D$138+$E$138)</f>
        <v>11873524957.021</v>
      </c>
      <c r="AB138">
        <v>1120831166</v>
      </c>
      <c r="AC138">
        <v>10752693791.021</v>
      </c>
      <c r="AD138">
        <f t="shared" ref="AD138" si="798">SUM($D$138+$E$138)</f>
        <v>11873524957.021</v>
      </c>
      <c r="AE138">
        <v>1120831166</v>
      </c>
      <c r="AF138">
        <v>10752693791.021</v>
      </c>
      <c r="AG138">
        <f t="shared" ref="AG138" si="799">SUM($D$138+$E$138)</f>
        <v>11873524957.021</v>
      </c>
      <c r="AH138">
        <v>1120831166</v>
      </c>
      <c r="AI138">
        <v>10752693791.021</v>
      </c>
      <c r="AJ138">
        <f t="shared" ref="AJ138" si="800">SUM($D$138+$E$138)</f>
        <v>11873524957.021</v>
      </c>
      <c r="AK138">
        <v>1120831166</v>
      </c>
      <c r="AL138">
        <v>10752693791.021</v>
      </c>
      <c r="AM138">
        <f t="shared" ref="AM138" si="801">SUM($D$138+$E$138)</f>
        <v>11873524957.021</v>
      </c>
      <c r="AN138">
        <v>1120831166</v>
      </c>
      <c r="AO138">
        <v>10752693791.021</v>
      </c>
      <c r="AP138">
        <f t="shared" ref="AP138" si="802">SUM($D$138+$E$138)</f>
        <v>11873524957.021</v>
      </c>
      <c r="AQ138">
        <v>1120831166</v>
      </c>
      <c r="AR138">
        <v>10752693791.021</v>
      </c>
      <c r="AS138">
        <f t="shared" ref="AS138" si="803">SUM($D$138+$E$138)</f>
        <v>11873524957.021</v>
      </c>
      <c r="AT138">
        <v>1233927151</v>
      </c>
      <c r="AU138">
        <v>12554468405.134401</v>
      </c>
      <c r="AV138">
        <f>SUM($AT$138+$AU$138)</f>
        <v>13788395556.134401</v>
      </c>
      <c r="AX138" s="57">
        <f t="shared" si="725"/>
        <v>0.16127229327808923</v>
      </c>
      <c r="AY138" s="57"/>
    </row>
    <row r="139" spans="2:51">
      <c r="B139" t="s">
        <v>422</v>
      </c>
      <c r="C139" t="s">
        <v>398</v>
      </c>
      <c r="D139">
        <v>44405916</v>
      </c>
      <c r="E139">
        <v>74526448.82280001</v>
      </c>
      <c r="F139">
        <f>SUM($D$139+$E$139)</f>
        <v>118932364.82280001</v>
      </c>
      <c r="G139">
        <v>44405916</v>
      </c>
      <c r="H139">
        <v>74526448.82280001</v>
      </c>
      <c r="I139">
        <f t="shared" ref="I139" si="804">SUM($D$139+$E$139)</f>
        <v>118932364.82280001</v>
      </c>
      <c r="J139">
        <v>44405916</v>
      </c>
      <c r="K139">
        <v>74526448.82280001</v>
      </c>
      <c r="L139">
        <f t="shared" ref="L139" si="805">SUM($D$139+$E$139)</f>
        <v>118932364.82280001</v>
      </c>
      <c r="M139">
        <v>44405916</v>
      </c>
      <c r="N139">
        <v>74526448.82280001</v>
      </c>
      <c r="O139">
        <f t="shared" ref="O139" si="806">SUM($D$139+$E$139)</f>
        <v>118932364.82280001</v>
      </c>
      <c r="P139">
        <v>44405916</v>
      </c>
      <c r="Q139">
        <v>74526448.82280001</v>
      </c>
      <c r="R139">
        <f t="shared" ref="R139" si="807">SUM($D$139+$E$139)</f>
        <v>118932364.82280001</v>
      </c>
      <c r="S139">
        <v>44405916</v>
      </c>
      <c r="T139">
        <v>74526448.82280001</v>
      </c>
      <c r="U139">
        <f t="shared" ref="U139" si="808">SUM($D$139+$E$139)</f>
        <v>118932364.82280001</v>
      </c>
      <c r="V139">
        <v>44405916</v>
      </c>
      <c r="W139">
        <v>74526448.82280001</v>
      </c>
      <c r="X139">
        <f t="shared" ref="X139" si="809">SUM($D$139+$E$139)</f>
        <v>118932364.82280001</v>
      </c>
      <c r="Y139">
        <v>44405916</v>
      </c>
      <c r="Z139">
        <v>74526448.82280001</v>
      </c>
      <c r="AA139">
        <f t="shared" ref="AA139" si="810">SUM($D$139+$E$139)</f>
        <v>118932364.82280001</v>
      </c>
      <c r="AB139">
        <v>44405916</v>
      </c>
      <c r="AC139">
        <v>74526448.82280001</v>
      </c>
      <c r="AD139">
        <f t="shared" ref="AD139" si="811">SUM($D$139+$E$139)</f>
        <v>118932364.82280001</v>
      </c>
      <c r="AE139">
        <v>44405916</v>
      </c>
      <c r="AF139">
        <v>74526448.82280001</v>
      </c>
      <c r="AG139">
        <f t="shared" ref="AG139" si="812">SUM($D$139+$E$139)</f>
        <v>118932364.82280001</v>
      </c>
      <c r="AH139">
        <v>44405916</v>
      </c>
      <c r="AI139">
        <v>74526448.82280001</v>
      </c>
      <c r="AJ139">
        <f t="shared" ref="AJ139" si="813">SUM($D$139+$E$139)</f>
        <v>118932364.82280001</v>
      </c>
      <c r="AK139">
        <v>44405916</v>
      </c>
      <c r="AL139">
        <v>74526448.82280001</v>
      </c>
      <c r="AM139">
        <f t="shared" ref="AM139" si="814">SUM($D$139+$E$139)</f>
        <v>118932364.82280001</v>
      </c>
      <c r="AN139">
        <v>44405916</v>
      </c>
      <c r="AO139">
        <v>74526448.82280001</v>
      </c>
      <c r="AP139">
        <f t="shared" ref="AP139" si="815">SUM($D$139+$E$139)</f>
        <v>118932364.82280001</v>
      </c>
      <c r="AQ139">
        <v>44405916</v>
      </c>
      <c r="AR139">
        <v>74526448.82280001</v>
      </c>
      <c r="AS139">
        <f t="shared" ref="AS139" si="816">SUM($D$139+$E$139)</f>
        <v>118932364.82280001</v>
      </c>
      <c r="AT139">
        <v>62808116</v>
      </c>
      <c r="AU139">
        <v>114737866.3088</v>
      </c>
      <c r="AV139">
        <f>SUM($AT$139+$AU$139)</f>
        <v>177545982.30879998</v>
      </c>
      <c r="AX139" s="57">
        <f t="shared" si="725"/>
        <v>0.4928315145614881</v>
      </c>
      <c r="AY139" s="57"/>
    </row>
    <row r="140" spans="2:51">
      <c r="B140" t="s">
        <v>451</v>
      </c>
      <c r="C140" t="s">
        <v>452</v>
      </c>
      <c r="D140">
        <v>125120588</v>
      </c>
      <c r="E140">
        <v>151033061.7748</v>
      </c>
      <c r="F140">
        <f>SUM($D$140+$E$140)</f>
        <v>276153649.7748</v>
      </c>
      <c r="G140">
        <v>125120588</v>
      </c>
      <c r="H140">
        <v>151033061.7748</v>
      </c>
      <c r="I140">
        <f t="shared" ref="I140:AV140" si="817">SUM($D$140+$E$140)</f>
        <v>276153649.7748</v>
      </c>
      <c r="J140">
        <v>125120588</v>
      </c>
      <c r="K140">
        <v>151033061.7748</v>
      </c>
      <c r="L140">
        <f t="shared" ref="L140:AV140" si="818">SUM($D$140+$E$140)</f>
        <v>276153649.7748</v>
      </c>
      <c r="M140">
        <v>125120588</v>
      </c>
      <c r="N140">
        <v>151033061.7748</v>
      </c>
      <c r="O140">
        <f t="shared" ref="O140:AV140" si="819">SUM($D$140+$E$140)</f>
        <v>276153649.7748</v>
      </c>
      <c r="P140">
        <v>125120588</v>
      </c>
      <c r="Q140">
        <v>151033061.7748</v>
      </c>
      <c r="R140">
        <f t="shared" ref="R140:AV140" si="820">SUM($D$140+$E$140)</f>
        <v>276153649.7748</v>
      </c>
      <c r="S140">
        <v>125120588</v>
      </c>
      <c r="T140">
        <v>151033061.7748</v>
      </c>
      <c r="U140">
        <f t="shared" ref="U140:AV140" si="821">SUM($D$140+$E$140)</f>
        <v>276153649.7748</v>
      </c>
      <c r="V140">
        <v>125120588</v>
      </c>
      <c r="W140">
        <v>151033061.7748</v>
      </c>
      <c r="X140">
        <f t="shared" ref="X140:AV140" si="822">SUM($D$140+$E$140)</f>
        <v>276153649.7748</v>
      </c>
      <c r="Y140">
        <v>125120588</v>
      </c>
      <c r="Z140">
        <v>151033061.7748</v>
      </c>
      <c r="AA140">
        <f t="shared" ref="AA140:AV140" si="823">SUM($D$140+$E$140)</f>
        <v>276153649.7748</v>
      </c>
      <c r="AB140">
        <v>125120588</v>
      </c>
      <c r="AC140">
        <v>151033061.7748</v>
      </c>
      <c r="AD140">
        <f t="shared" ref="AD140:AV140" si="824">SUM($D$140+$E$140)</f>
        <v>276153649.7748</v>
      </c>
      <c r="AE140">
        <v>125120588</v>
      </c>
      <c r="AF140">
        <v>151033061.7748</v>
      </c>
      <c r="AG140">
        <f t="shared" ref="AG140:AV140" si="825">SUM($D$140+$E$140)</f>
        <v>276153649.7748</v>
      </c>
      <c r="AH140">
        <v>125120588</v>
      </c>
      <c r="AI140">
        <v>151033061.7748</v>
      </c>
      <c r="AJ140">
        <f t="shared" ref="AJ140:AV140" si="826">SUM($D$140+$E$140)</f>
        <v>276153649.7748</v>
      </c>
      <c r="AK140">
        <v>125120588</v>
      </c>
      <c r="AL140">
        <v>151033061.7748</v>
      </c>
      <c r="AM140">
        <f t="shared" ref="AM140:AV140" si="827">SUM($D$140+$E$140)</f>
        <v>276153649.7748</v>
      </c>
      <c r="AN140">
        <v>125120588</v>
      </c>
      <c r="AO140">
        <v>151033061.7748</v>
      </c>
      <c r="AP140">
        <f t="shared" ref="AP140:AV140" si="828">SUM($D$140+$E$140)</f>
        <v>276153649.7748</v>
      </c>
      <c r="AQ140">
        <v>125120588</v>
      </c>
      <c r="AR140">
        <v>151033061.7748</v>
      </c>
      <c r="AS140">
        <f t="shared" ref="AS140:AV140" si="829">SUM($D$140+$E$140)</f>
        <v>276153649.7748</v>
      </c>
      <c r="AT140">
        <v>125120588</v>
      </c>
      <c r="AU140">
        <v>151033061.7748</v>
      </c>
      <c r="AV140">
        <f t="shared" ref="AV140" si="830">SUM($D$140+$E$140)</f>
        <v>276153649.7748</v>
      </c>
      <c r="AX140" s="57"/>
      <c r="AY140" s="57"/>
    </row>
  </sheetData>
  <conditionalFormatting sqref="C3">
    <cfRule type="duplicateValues" dxfId="26" priority="25"/>
  </conditionalFormatting>
  <conditionalFormatting sqref="C4">
    <cfRule type="duplicateValues" dxfId="25" priority="26"/>
  </conditionalFormatting>
  <conditionalFormatting sqref="C5:C139">
    <cfRule type="duplicateValues" dxfId="24" priority="27"/>
  </conditionalFormatting>
  <conditionalFormatting sqref="B3:B64 B66:B139">
    <cfRule type="duplicateValues" dxfId="23" priority="4"/>
  </conditionalFormatting>
  <conditionalFormatting sqref="B3:B139">
    <cfRule type="duplicateValues" dxfId="22" priority="3"/>
  </conditionalFormatting>
  <conditionalFormatting sqref="AX3:AX139">
    <cfRule type="cellIs" dxfId="21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 t="s">
        <v>450</v>
      </c>
      <c r="B2" s="7" t="s">
        <v>451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5" sqref="A5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/>
      <c r="B2" s="13"/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V30"/>
  <sheetViews>
    <sheetView zoomScale="120" zoomScaleNormal="120" workbookViewId="0">
      <pane xSplit="1" topLeftCell="B1" activePane="topRight" state="frozen"/>
      <selection pane="topRight" activeCell="F10" sqref="F10"/>
    </sheetView>
  </sheetViews>
  <sheetFormatPr defaultRowHeight="26.25"/>
  <cols>
    <col min="1" max="1" width="12.7109375" style="15" bestFit="1" customWidth="1"/>
    <col min="2" max="2" width="31.5703125" style="15" bestFit="1" customWidth="1"/>
    <col min="3" max="3" width="34.7109375" style="15" bestFit="1" customWidth="1"/>
    <col min="4" max="4" width="36.7109375" style="15" bestFit="1" customWidth="1"/>
    <col min="5" max="5" width="15.7109375" style="15" bestFit="1" customWidth="1"/>
    <col min="6" max="6" width="36.7109375" style="15" bestFit="1" customWidth="1"/>
    <col min="7" max="7" width="16.5703125" style="15" bestFit="1" customWidth="1"/>
    <col min="8" max="8" width="15.7109375" style="15" bestFit="1" customWidth="1"/>
    <col min="9" max="9" width="36.7109375" style="15" bestFit="1" customWidth="1"/>
    <col min="10" max="10" width="16.5703125" style="15" bestFit="1" customWidth="1"/>
    <col min="11" max="11" width="13.7109375" style="15" bestFit="1" customWidth="1"/>
    <col min="12" max="12" width="36.7109375" style="15" bestFit="1" customWidth="1"/>
    <col min="13" max="13" width="16.5703125" style="15" bestFit="1" customWidth="1"/>
    <col min="14" max="14" width="13.7109375" style="15" bestFit="1" customWidth="1"/>
    <col min="15" max="15" width="36.7109375" style="15" bestFit="1" customWidth="1"/>
    <col min="16" max="16" width="16.5703125" style="15" bestFit="1" customWidth="1"/>
    <col min="17" max="17" width="13.7109375" style="15" bestFit="1" customWidth="1"/>
    <col min="18" max="18" width="36.7109375" style="15" bestFit="1" customWidth="1"/>
    <col min="19" max="19" width="21.7109375" style="15" bestFit="1" customWidth="1"/>
    <col min="20" max="20" width="5.28515625" style="15" customWidth="1"/>
    <col min="21" max="21" width="10.42578125" style="15" bestFit="1" customWidth="1"/>
    <col min="22" max="22" width="9.42578125" style="15" bestFit="1" customWidth="1"/>
    <col min="23" max="16384" width="9.140625" style="15"/>
  </cols>
  <sheetData>
    <row r="1" spans="1:22">
      <c r="B1" s="16" t="s">
        <v>163</v>
      </c>
      <c r="C1" s="17" t="s">
        <v>164</v>
      </c>
      <c r="D1" s="17" t="s">
        <v>165</v>
      </c>
      <c r="E1" s="18" t="s">
        <v>167</v>
      </c>
      <c r="F1" s="16" t="s">
        <v>166</v>
      </c>
      <c r="G1" s="18" t="s">
        <v>167</v>
      </c>
    </row>
    <row r="2" spans="1:22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22"/>
    </row>
    <row r="3" spans="1:22">
      <c r="A3" s="23">
        <v>45599</v>
      </c>
      <c r="B3" s="24">
        <v>12251953579</v>
      </c>
      <c r="C3" s="24">
        <v>72412119703.697403</v>
      </c>
      <c r="D3" s="24">
        <v>84664073282.697403</v>
      </c>
      <c r="E3" s="25">
        <f>(D3/D2)-1</f>
        <v>0.554639948435387</v>
      </c>
      <c r="F3" s="24">
        <f>C27</f>
        <v>9367388175111</v>
      </c>
      <c r="G3" s="26"/>
    </row>
    <row r="4" spans="1:22">
      <c r="A4" s="23">
        <v>45627</v>
      </c>
      <c r="B4" s="24">
        <v>20311041254</v>
      </c>
      <c r="C4" s="24">
        <v>130331898314.60237</v>
      </c>
      <c r="D4" s="24">
        <v>150642939568.60236</v>
      </c>
      <c r="E4" s="25">
        <f>(D4/D3)-1</f>
        <v>0.77930181867813464</v>
      </c>
      <c r="F4" s="24">
        <f>F27</f>
        <v>14423683909608</v>
      </c>
      <c r="G4" s="26">
        <f>(F4/F3)-1</f>
        <v>0.53977647130408202</v>
      </c>
    </row>
    <row r="5" spans="1:22">
      <c r="A5" s="23">
        <v>45637</v>
      </c>
      <c r="B5" s="24">
        <v>27568617066</v>
      </c>
      <c r="C5" s="24">
        <v>176357359077.21179</v>
      </c>
      <c r="D5" s="24">
        <v>203925976143.21182</v>
      </c>
      <c r="E5" s="25">
        <f>(D5/D4)-1</f>
        <v>0.35370417443523472</v>
      </c>
      <c r="F5" s="24">
        <f>I27</f>
        <v>16807977610645</v>
      </c>
      <c r="G5" s="26">
        <f>(F5/F4)-1</f>
        <v>0.16530407321591123</v>
      </c>
      <c r="K5" s="27"/>
    </row>
    <row r="6" spans="1:22">
      <c r="A6" s="23">
        <v>45669</v>
      </c>
      <c r="B6" s="24">
        <v>50544502728</v>
      </c>
      <c r="C6" s="24">
        <v>365640508685.70178</v>
      </c>
      <c r="D6" s="24">
        <v>416185011413.7019</v>
      </c>
      <c r="E6" s="25">
        <f>(D6/D5)-1</f>
        <v>1.0408631567438285</v>
      </c>
      <c r="F6" s="24">
        <f>L27</f>
        <v>23131061313318</v>
      </c>
      <c r="G6" s="25">
        <f>(F6/F5)-1</f>
        <v>0.37619539061429963</v>
      </c>
      <c r="K6" s="27"/>
    </row>
    <row r="7" spans="1:22">
      <c r="A7" s="23">
        <v>45669</v>
      </c>
      <c r="B7" s="24">
        <v>58613941306</v>
      </c>
      <c r="C7" s="24">
        <v>441775011147.23444</v>
      </c>
      <c r="D7" s="24">
        <v>500388952453.23456</v>
      </c>
      <c r="E7" s="25">
        <f t="shared" ref="E7:E10" si="0">(D7/D6)-1</f>
        <v>0.20232333873223296</v>
      </c>
      <c r="F7" s="24">
        <f>L27</f>
        <v>23131061313318</v>
      </c>
      <c r="G7" s="25"/>
      <c r="H7" s="27"/>
      <c r="K7" s="27"/>
    </row>
    <row r="8" spans="1:22">
      <c r="A8" s="23">
        <v>45706</v>
      </c>
      <c r="B8" s="24">
        <v>88962630662</v>
      </c>
      <c r="C8" s="24">
        <v>856662021218.94739</v>
      </c>
      <c r="D8" s="24">
        <v>945624651880.94702</v>
      </c>
      <c r="E8" s="25">
        <f t="shared" si="0"/>
        <v>0.88977923522267077</v>
      </c>
      <c r="F8" s="24">
        <f>O27</f>
        <v>36048693738115</v>
      </c>
      <c r="G8" s="25">
        <f>(F8/F7)-1</f>
        <v>0.55845394423642425</v>
      </c>
      <c r="H8" s="51"/>
      <c r="K8" s="27"/>
    </row>
    <row r="9" spans="1:22">
      <c r="A9" s="23">
        <v>45706</v>
      </c>
      <c r="B9" s="24">
        <v>100715402143</v>
      </c>
      <c r="C9" s="24">
        <v>947776285300.71301</v>
      </c>
      <c r="D9" s="24">
        <v>1048491687443.713</v>
      </c>
      <c r="E9" s="25">
        <f t="shared" si="0"/>
        <v>0.10878210012625256</v>
      </c>
      <c r="F9" s="24">
        <f>O27</f>
        <v>36048693738115</v>
      </c>
      <c r="G9" s="25"/>
      <c r="H9" s="51"/>
      <c r="K9" s="27"/>
    </row>
    <row r="10" spans="1:22">
      <c r="A10" s="23">
        <v>45716</v>
      </c>
      <c r="B10" s="24">
        <v>106809970225</v>
      </c>
      <c r="C10" s="24">
        <v>1032447476167.4863</v>
      </c>
      <c r="D10" s="24">
        <v>1139257446392.4861</v>
      </c>
      <c r="E10" s="25">
        <f t="shared" si="0"/>
        <v>8.6567933762131677E-2</v>
      </c>
      <c r="F10" s="24">
        <f>R27</f>
        <v>38264633667438</v>
      </c>
      <c r="G10" s="25">
        <f>(F10/F9)-1</f>
        <v>6.1470741365034387E-2</v>
      </c>
      <c r="K10" s="27"/>
    </row>
    <row r="11" spans="1:22" hidden="1">
      <c r="A11" s="23">
        <v>45716</v>
      </c>
      <c r="B11" s="28">
        <v>106935090813</v>
      </c>
      <c r="C11" s="28">
        <v>1032598509229.2611</v>
      </c>
      <c r="D11" s="28">
        <v>1139533600042.261</v>
      </c>
      <c r="E11" s="29"/>
      <c r="F11" s="24">
        <f>R27</f>
        <v>38264633667438</v>
      </c>
      <c r="G11" s="26"/>
      <c r="K11" s="27"/>
    </row>
    <row r="12" spans="1:22">
      <c r="A12" s="30" t="s">
        <v>188</v>
      </c>
      <c r="B12" s="31">
        <f>B10-B9</f>
        <v>6094568082</v>
      </c>
      <c r="C12" s="31">
        <f t="shared" ref="C12:D12" si="1">C10-C9</f>
        <v>84671190866.773315</v>
      </c>
      <c r="D12" s="31">
        <f t="shared" si="1"/>
        <v>90765758948.773071</v>
      </c>
      <c r="E12" s="32"/>
      <c r="F12" s="31">
        <f>F10-F9</f>
        <v>2215939929323</v>
      </c>
      <c r="G12" s="33"/>
    </row>
    <row r="13" spans="1:22">
      <c r="D13" s="52"/>
    </row>
    <row r="14" spans="1:22">
      <c r="B14" s="54">
        <v>45599</v>
      </c>
      <c r="C14" s="55"/>
      <c r="D14" s="56"/>
      <c r="E14" s="55">
        <v>45627</v>
      </c>
      <c r="F14" s="55"/>
      <c r="G14" s="56"/>
      <c r="H14" s="55">
        <v>45636</v>
      </c>
      <c r="I14" s="55"/>
      <c r="J14" s="56"/>
      <c r="K14" s="55">
        <v>45669</v>
      </c>
      <c r="L14" s="55"/>
      <c r="M14" s="56"/>
      <c r="N14" s="55">
        <v>45706</v>
      </c>
      <c r="O14" s="55"/>
      <c r="P14" s="56"/>
      <c r="Q14" s="55" t="s">
        <v>453</v>
      </c>
      <c r="R14" s="55"/>
      <c r="S14" s="56"/>
      <c r="T14" s="34"/>
      <c r="U14" s="53" t="s">
        <v>186</v>
      </c>
      <c r="V14" s="53"/>
    </row>
    <row r="15" spans="1:22">
      <c r="A15" s="35" t="s">
        <v>180</v>
      </c>
      <c r="B15" s="36" t="s">
        <v>181</v>
      </c>
      <c r="C15" s="37" t="s">
        <v>179</v>
      </c>
      <c r="D15" s="38" t="s">
        <v>182</v>
      </c>
      <c r="E15" s="37" t="s">
        <v>181</v>
      </c>
      <c r="F15" s="37" t="s">
        <v>179</v>
      </c>
      <c r="G15" s="38" t="s">
        <v>182</v>
      </c>
      <c r="H15" s="37" t="s">
        <v>181</v>
      </c>
      <c r="I15" s="37" t="s">
        <v>179</v>
      </c>
      <c r="J15" s="38" t="s">
        <v>182</v>
      </c>
      <c r="K15" s="37" t="s">
        <v>181</v>
      </c>
      <c r="L15" s="37" t="s">
        <v>179</v>
      </c>
      <c r="M15" s="38" t="s">
        <v>182</v>
      </c>
      <c r="N15" s="37" t="s">
        <v>181</v>
      </c>
      <c r="O15" s="37" t="s">
        <v>179</v>
      </c>
      <c r="P15" s="38" t="s">
        <v>182</v>
      </c>
      <c r="Q15" s="37" t="s">
        <v>181</v>
      </c>
      <c r="R15" s="37" t="s">
        <v>179</v>
      </c>
      <c r="S15" s="38" t="s">
        <v>182</v>
      </c>
      <c r="U15" s="15" t="s">
        <v>181</v>
      </c>
      <c r="V15" s="15" t="s">
        <v>187</v>
      </c>
    </row>
    <row r="16" spans="1:22">
      <c r="A16" s="39" t="s">
        <v>168</v>
      </c>
      <c r="B16" s="40">
        <v>30</v>
      </c>
      <c r="C16" s="24">
        <v>1548603167792</v>
      </c>
      <c r="D16" s="41"/>
      <c r="E16" s="15">
        <v>30</v>
      </c>
      <c r="F16" s="24">
        <v>1502097804235</v>
      </c>
      <c r="G16" s="41"/>
      <c r="H16" s="15">
        <v>30</v>
      </c>
      <c r="I16" s="24">
        <v>1759290107250</v>
      </c>
      <c r="J16" s="41"/>
      <c r="K16" s="15">
        <v>30</v>
      </c>
      <c r="L16" s="24">
        <v>2221994435332</v>
      </c>
      <c r="M16" s="41"/>
      <c r="N16" s="15">
        <v>30</v>
      </c>
      <c r="O16" s="24">
        <v>3712537173404</v>
      </c>
      <c r="P16" s="41"/>
      <c r="Q16" s="15">
        <v>30</v>
      </c>
      <c r="R16" s="24">
        <v>4031303977634</v>
      </c>
      <c r="S16" s="41"/>
      <c r="T16" s="42"/>
      <c r="U16" s="27">
        <f t="shared" ref="U16:U26" si="2">(Q16/N16)-1</f>
        <v>0</v>
      </c>
      <c r="V16" s="27"/>
    </row>
    <row r="17" spans="1:22">
      <c r="A17" s="39" t="s">
        <v>169</v>
      </c>
      <c r="B17" s="40">
        <v>250</v>
      </c>
      <c r="C17" s="24">
        <v>208697426935</v>
      </c>
      <c r="D17" s="41"/>
      <c r="E17" s="15">
        <v>250</v>
      </c>
      <c r="F17" s="24">
        <v>206167253798</v>
      </c>
      <c r="G17" s="41"/>
      <c r="H17" s="15">
        <v>250</v>
      </c>
      <c r="I17" s="24">
        <v>125932215358</v>
      </c>
      <c r="J17" s="41"/>
      <c r="K17" s="15">
        <v>250</v>
      </c>
      <c r="L17" s="24">
        <v>306750926247</v>
      </c>
      <c r="M17" s="41"/>
      <c r="N17" s="15">
        <v>250</v>
      </c>
      <c r="O17" s="24">
        <v>347432195502</v>
      </c>
      <c r="P17" s="41"/>
      <c r="Q17" s="15">
        <v>250</v>
      </c>
      <c r="R17" s="24">
        <v>741901348714</v>
      </c>
      <c r="S17" s="41"/>
      <c r="T17" s="42"/>
      <c r="U17" s="27">
        <f t="shared" si="2"/>
        <v>0</v>
      </c>
      <c r="V17" s="27"/>
    </row>
    <row r="18" spans="1:22">
      <c r="A18" s="39" t="s">
        <v>177</v>
      </c>
      <c r="B18" s="40">
        <v>0</v>
      </c>
      <c r="C18" s="24">
        <v>0</v>
      </c>
      <c r="D18" s="41">
        <v>0</v>
      </c>
      <c r="E18" s="15">
        <v>12</v>
      </c>
      <c r="F18" s="24">
        <v>1118898900974</v>
      </c>
      <c r="G18" s="41">
        <v>28.32</v>
      </c>
      <c r="H18" s="15">
        <v>12</v>
      </c>
      <c r="I18" s="24">
        <v>1702738907169</v>
      </c>
      <c r="J18" s="41">
        <f>H18*2.17</f>
        <v>26.04</v>
      </c>
      <c r="K18" s="15">
        <v>12</v>
      </c>
      <c r="L18" s="24">
        <v>2726215768426</v>
      </c>
      <c r="M18" s="41">
        <f>K18*2.52</f>
        <v>30.240000000000002</v>
      </c>
      <c r="N18" s="15">
        <v>7</v>
      </c>
      <c r="O18" s="24">
        <v>2996259376740</v>
      </c>
      <c r="P18" s="41">
        <f>N18*2.56</f>
        <v>17.920000000000002</v>
      </c>
      <c r="Q18" s="15">
        <v>6</v>
      </c>
      <c r="R18" s="24">
        <v>2515129239167</v>
      </c>
      <c r="S18" s="41">
        <v>13.080000000000002</v>
      </c>
      <c r="T18" s="42"/>
      <c r="U18" s="27">
        <f t="shared" si="2"/>
        <v>-0.1428571428571429</v>
      </c>
      <c r="V18" s="27">
        <f t="shared" ref="V18:V27" si="3">(S18/P18)-1</f>
        <v>-0.2700892857142857</v>
      </c>
    </row>
    <row r="19" spans="1:22">
      <c r="A19" s="39" t="s">
        <v>170</v>
      </c>
      <c r="B19" s="40">
        <v>80</v>
      </c>
      <c r="C19" s="24">
        <v>1297662855427</v>
      </c>
      <c r="D19" s="41">
        <v>13.600000000000001</v>
      </c>
      <c r="E19" s="15">
        <v>80</v>
      </c>
      <c r="F19" s="24">
        <v>1302568301015</v>
      </c>
      <c r="G19" s="41">
        <v>16.8</v>
      </c>
      <c r="H19" s="15">
        <v>80</v>
      </c>
      <c r="I19" s="24">
        <v>1634983755968</v>
      </c>
      <c r="J19" s="41">
        <f>H19*0.26</f>
        <v>20.8</v>
      </c>
      <c r="K19" s="15">
        <v>75</v>
      </c>
      <c r="L19" s="24">
        <v>2205346731062</v>
      </c>
      <c r="M19" s="41">
        <f>K19*0.23</f>
        <v>17.25</v>
      </c>
      <c r="N19" s="15">
        <v>75</v>
      </c>
      <c r="O19" s="24">
        <v>3587873360328</v>
      </c>
      <c r="P19" s="41">
        <f>N19*0.24</f>
        <v>18</v>
      </c>
      <c r="Q19" s="15">
        <v>75</v>
      </c>
      <c r="R19" s="24">
        <v>4284699349743</v>
      </c>
      <c r="S19" s="41">
        <v>17.6325</v>
      </c>
      <c r="T19" s="42"/>
      <c r="U19" s="27">
        <f t="shared" si="2"/>
        <v>0</v>
      </c>
      <c r="V19" s="27">
        <f t="shared" si="3"/>
        <v>-2.0416666666666639E-2</v>
      </c>
    </row>
    <row r="20" spans="1:22">
      <c r="A20" s="39" t="s">
        <v>171</v>
      </c>
      <c r="B20" s="40">
        <v>130</v>
      </c>
      <c r="C20" s="24">
        <v>2047287373871</v>
      </c>
      <c r="D20" s="41">
        <v>19.5</v>
      </c>
      <c r="E20" s="15">
        <v>60</v>
      </c>
      <c r="F20" s="24">
        <v>2012167325881</v>
      </c>
      <c r="G20" s="41">
        <v>25.2</v>
      </c>
      <c r="H20" s="15">
        <v>50</v>
      </c>
      <c r="I20" s="24">
        <v>1772464005566</v>
      </c>
      <c r="J20" s="41">
        <f>H20*0.4</f>
        <v>20</v>
      </c>
      <c r="K20" s="15">
        <v>54</v>
      </c>
      <c r="L20" s="24">
        <v>2253461445694</v>
      </c>
      <c r="M20" s="41">
        <f>K20*0.34</f>
        <v>18.360000000000003</v>
      </c>
      <c r="N20" s="15">
        <v>90</v>
      </c>
      <c r="O20" s="24">
        <v>4607877607142</v>
      </c>
      <c r="P20" s="41">
        <f>N20*0.25</f>
        <v>22.5</v>
      </c>
      <c r="Q20" s="15">
        <v>90</v>
      </c>
      <c r="R20" s="24">
        <v>4641108536400</v>
      </c>
      <c r="S20" s="41">
        <v>18.459</v>
      </c>
      <c r="T20" s="42"/>
      <c r="U20" s="27">
        <f t="shared" si="2"/>
        <v>0</v>
      </c>
      <c r="V20" s="27">
        <f t="shared" si="3"/>
        <v>-0.17959999999999998</v>
      </c>
    </row>
    <row r="21" spans="1:22">
      <c r="A21" s="39" t="s">
        <v>172</v>
      </c>
      <c r="B21" s="40">
        <v>2.0000000000000001E-4</v>
      </c>
      <c r="C21" s="24">
        <v>12085680872</v>
      </c>
      <c r="D21" s="41">
        <v>13.746352</v>
      </c>
      <c r="E21" s="15">
        <v>2.2000000000000001E-4</v>
      </c>
      <c r="F21" s="24">
        <v>1704527581437</v>
      </c>
      <c r="G21" s="41">
        <v>21.222341800000002</v>
      </c>
      <c r="H21" s="15">
        <v>2.2000000000000001E-4</v>
      </c>
      <c r="I21" s="24">
        <v>1825404392412</v>
      </c>
      <c r="J21" s="41">
        <f>H21*97077.3</f>
        <v>21.357006000000002</v>
      </c>
      <c r="K21" s="15">
        <v>2.0000000000000001E-4</v>
      </c>
      <c r="L21" s="24">
        <v>2330547934306</v>
      </c>
      <c r="M21" s="41">
        <f>K21*94368.95</f>
        <v>18.87379</v>
      </c>
      <c r="N21" s="15">
        <v>2.0000000000000001E-4</v>
      </c>
      <c r="O21" s="24">
        <v>3823757903860</v>
      </c>
      <c r="P21" s="41">
        <f>N21*95583.88</f>
        <v>19.116776000000002</v>
      </c>
      <c r="Q21" s="15">
        <v>2.0000000000000001E-4</v>
      </c>
      <c r="R21" s="24">
        <v>4164558593231</v>
      </c>
      <c r="S21" s="41">
        <v>16.989226000000002</v>
      </c>
      <c r="T21" s="42"/>
      <c r="U21" s="27">
        <f t="shared" si="2"/>
        <v>0</v>
      </c>
      <c r="V21" s="27">
        <f t="shared" si="3"/>
        <v>-0.111292301588929</v>
      </c>
    </row>
    <row r="22" spans="1:22">
      <c r="A22" s="39" t="s">
        <v>173</v>
      </c>
      <c r="B22" s="40">
        <v>1.8E-3</v>
      </c>
      <c r="C22" s="24">
        <v>479952872411</v>
      </c>
      <c r="D22" s="41">
        <v>4.4214120000000001</v>
      </c>
      <c r="E22" s="15">
        <v>6.0000000000000001E-3</v>
      </c>
      <c r="F22" s="24">
        <v>1720775968166</v>
      </c>
      <c r="G22" s="41">
        <v>22.238040000000002</v>
      </c>
      <c r="H22" s="15">
        <v>6.0000000000000001E-3</v>
      </c>
      <c r="I22" s="24">
        <v>1622701741665</v>
      </c>
      <c r="J22" s="41">
        <f>H22*3709.17</f>
        <v>22.255020000000002</v>
      </c>
      <c r="K22" s="15">
        <v>5.4999999999999997E-3</v>
      </c>
      <c r="L22" s="24">
        <v>2280837794775</v>
      </c>
      <c r="M22" s="41">
        <f>K22*3266.09</f>
        <v>17.963494999999998</v>
      </c>
      <c r="N22" s="15">
        <v>7.0000000000000001E-3</v>
      </c>
      <c r="O22" s="24">
        <v>3705142613799</v>
      </c>
      <c r="P22" s="41">
        <f>N22*2682.58</f>
        <v>18.77806</v>
      </c>
      <c r="Q22" s="15">
        <v>7.0000000000000001E-3</v>
      </c>
      <c r="R22" s="24">
        <v>4210897636962</v>
      </c>
      <c r="S22" s="41">
        <v>15.75539</v>
      </c>
      <c r="T22" s="42"/>
      <c r="U22" s="27">
        <f t="shared" si="2"/>
        <v>0</v>
      </c>
      <c r="V22" s="27">
        <f t="shared" si="3"/>
        <v>-0.16096817243101791</v>
      </c>
    </row>
    <row r="23" spans="1:22">
      <c r="A23" s="39" t="s">
        <v>174</v>
      </c>
      <c r="B23" s="40">
        <v>2.8000000000000001E-2</v>
      </c>
      <c r="C23" s="24">
        <v>1223789587623</v>
      </c>
      <c r="D23" s="41">
        <v>15.62372</v>
      </c>
      <c r="E23" s="15">
        <v>2.5000000000000001E-2</v>
      </c>
      <c r="F23" s="24">
        <v>1247222939191</v>
      </c>
      <c r="G23" s="41">
        <v>16.365000000000002</v>
      </c>
      <c r="H23" s="15">
        <v>2.5999999999999999E-2</v>
      </c>
      <c r="I23" s="24">
        <v>1418667829635</v>
      </c>
      <c r="J23" s="41">
        <f>H23*691.86</f>
        <v>17.98836</v>
      </c>
      <c r="K23" s="15">
        <v>2.5000000000000001E-2</v>
      </c>
      <c r="L23" s="24">
        <v>2298815415687</v>
      </c>
      <c r="M23" s="41">
        <f>K23*693.25</f>
        <v>17.331250000000001</v>
      </c>
      <c r="N23" s="15">
        <v>2.4E-2</v>
      </c>
      <c r="O23" s="24">
        <v>3037893397306</v>
      </c>
      <c r="P23" s="41">
        <f>N23*644.85</f>
        <v>15.476400000000002</v>
      </c>
      <c r="Q23" s="15">
        <v>2.9000000000000001E-2</v>
      </c>
      <c r="R23" s="24">
        <v>3981494827259</v>
      </c>
      <c r="S23" s="41">
        <v>17.15408</v>
      </c>
      <c r="T23" s="42"/>
      <c r="U23" s="27">
        <f t="shared" si="2"/>
        <v>0.20833333333333326</v>
      </c>
      <c r="V23" s="27">
        <f t="shared" si="3"/>
        <v>0.10840247085885601</v>
      </c>
    </row>
    <row r="24" spans="1:22">
      <c r="A24" s="39" t="s">
        <v>175</v>
      </c>
      <c r="B24" s="40">
        <v>9</v>
      </c>
      <c r="C24" s="24">
        <v>435521914006</v>
      </c>
      <c r="D24" s="41">
        <v>2.61</v>
      </c>
      <c r="E24" s="15">
        <v>35</v>
      </c>
      <c r="F24" s="24">
        <v>1042715534192</v>
      </c>
      <c r="G24" s="41">
        <v>21</v>
      </c>
      <c r="H24" s="15">
        <v>32</v>
      </c>
      <c r="I24" s="24">
        <v>1442402830997</v>
      </c>
      <c r="J24" s="41">
        <f>H24*0.58</f>
        <v>18.559999999999999</v>
      </c>
      <c r="K24" s="15">
        <v>35</v>
      </c>
      <c r="L24" s="24">
        <v>1973976180061</v>
      </c>
      <c r="M24" s="41">
        <f>K24*0.45</f>
        <v>15.75</v>
      </c>
      <c r="N24" s="15">
        <v>60</v>
      </c>
      <c r="O24" s="24">
        <v>3523844655366</v>
      </c>
      <c r="P24" s="41">
        <f>N24*0.301</f>
        <v>18.059999999999999</v>
      </c>
      <c r="Q24" s="15">
        <v>49</v>
      </c>
      <c r="R24" s="24">
        <v>2831266229994</v>
      </c>
      <c r="S24" s="41">
        <v>13.3574</v>
      </c>
      <c r="T24" s="42"/>
      <c r="U24" s="27">
        <f t="shared" si="2"/>
        <v>-0.18333333333333335</v>
      </c>
      <c r="V24" s="27">
        <f t="shared" si="3"/>
        <v>-0.26038759689922475</v>
      </c>
    </row>
    <row r="25" spans="1:22">
      <c r="A25" s="39" t="s">
        <v>176</v>
      </c>
      <c r="B25" s="40">
        <v>0.08</v>
      </c>
      <c r="C25" s="24">
        <v>1087209850989</v>
      </c>
      <c r="D25" s="41">
        <v>12.9968</v>
      </c>
      <c r="E25" s="15">
        <v>0.08</v>
      </c>
      <c r="F25" s="24">
        <v>1052273875232</v>
      </c>
      <c r="G25" s="41">
        <v>19.0184</v>
      </c>
      <c r="H25" s="15">
        <v>0.1</v>
      </c>
      <c r="I25" s="24">
        <v>1574349133827</v>
      </c>
      <c r="J25" s="41">
        <f>H25*213.75</f>
        <v>21.375</v>
      </c>
      <c r="K25" s="15">
        <v>0.11</v>
      </c>
      <c r="L25" s="24">
        <v>2026932602116</v>
      </c>
      <c r="M25" s="41">
        <f>K25*188.3</f>
        <v>20.713000000000001</v>
      </c>
      <c r="N25" s="15">
        <v>0.11</v>
      </c>
      <c r="O25" s="24">
        <v>3573372109642</v>
      </c>
      <c r="P25" s="41">
        <f>N25*169.06</f>
        <v>18.596599999999999</v>
      </c>
      <c r="Q25" s="15">
        <v>0.12</v>
      </c>
      <c r="R25" s="24">
        <v>3503856453714</v>
      </c>
      <c r="S25" s="41">
        <v>17.595599999999997</v>
      </c>
      <c r="T25" s="42"/>
      <c r="U25" s="27">
        <f t="shared" si="2"/>
        <v>9.0909090909090828E-2</v>
      </c>
      <c r="V25" s="27">
        <f t="shared" si="3"/>
        <v>-5.3827043653140949E-2</v>
      </c>
    </row>
    <row r="26" spans="1:22">
      <c r="A26" s="39" t="s">
        <v>178</v>
      </c>
      <c r="B26" s="40">
        <v>0.24</v>
      </c>
      <c r="C26" s="24">
        <v>1026577445185</v>
      </c>
      <c r="D26" s="41">
        <v>16.041599999999999</v>
      </c>
      <c r="E26" s="15">
        <v>0.3</v>
      </c>
      <c r="F26" s="24">
        <v>1514268425487</v>
      </c>
      <c r="G26" s="41">
        <v>30.839999999999996</v>
      </c>
      <c r="H26" s="15">
        <v>0.3</v>
      </c>
      <c r="I26" s="24">
        <v>1929042690798</v>
      </c>
      <c r="J26" s="41">
        <f>H26*109.91</f>
        <v>32.972999999999999</v>
      </c>
      <c r="K26" s="15">
        <v>0.28000000000000003</v>
      </c>
      <c r="L26" s="24">
        <v>2506182079612</v>
      </c>
      <c r="M26" s="41">
        <f>K26*102.45</f>
        <v>28.686000000000003</v>
      </c>
      <c r="N26" s="15">
        <v>0.15</v>
      </c>
      <c r="O26" s="24">
        <v>3132703345026</v>
      </c>
      <c r="P26" s="41">
        <f>N26*132.08</f>
        <v>19.812000000000001</v>
      </c>
      <c r="Q26" s="15">
        <v>0.15</v>
      </c>
      <c r="R26" s="24">
        <v>3358417474620</v>
      </c>
      <c r="S26" s="41">
        <v>19.252499999999998</v>
      </c>
      <c r="T26" s="42"/>
      <c r="U26" s="27">
        <f t="shared" si="2"/>
        <v>0</v>
      </c>
      <c r="V26" s="27">
        <f t="shared" si="3"/>
        <v>-2.8240460327074723E-2</v>
      </c>
    </row>
    <row r="27" spans="1:22">
      <c r="A27" s="35" t="s">
        <v>183</v>
      </c>
      <c r="B27" s="43"/>
      <c r="C27" s="31">
        <f>SUM(C16:C26)</f>
        <v>9367388175111</v>
      </c>
      <c r="D27" s="44">
        <f>SUM(D18:D26)</f>
        <v>98.539884000000015</v>
      </c>
      <c r="E27" s="45"/>
      <c r="F27" s="31">
        <f>SUM(F16:F26)</f>
        <v>14423683909608</v>
      </c>
      <c r="G27" s="44">
        <f>SUM(G18:G26)</f>
        <v>201.00378179999998</v>
      </c>
      <c r="H27" s="45"/>
      <c r="I27" s="31">
        <f>SUM(I16:I26)</f>
        <v>16807977610645</v>
      </c>
      <c r="J27" s="44">
        <f>SUM(J18:J26)</f>
        <v>201.348386</v>
      </c>
      <c r="K27" s="45"/>
      <c r="L27" s="31">
        <f>SUM(L16:L26)</f>
        <v>23131061313318</v>
      </c>
      <c r="M27" s="44">
        <f>SUM(M18:M26)</f>
        <v>185.16753499999999</v>
      </c>
      <c r="N27" s="45"/>
      <c r="O27" s="31">
        <f>SUM(O16:O26)</f>
        <v>36048693738115</v>
      </c>
      <c r="P27" s="44">
        <f>SUM(P18:P26)</f>
        <v>168.25983600000001</v>
      </c>
      <c r="Q27" s="45"/>
      <c r="R27" s="31">
        <f>SUM(R16:R26)</f>
        <v>38264633667438</v>
      </c>
      <c r="S27" s="44">
        <f>SUM(S18:S26)</f>
        <v>149.27569600000001</v>
      </c>
      <c r="T27" s="42"/>
      <c r="U27" s="46">
        <f>AVERAGE(U16:U26)</f>
        <v>-2.4498229043683787E-3</v>
      </c>
      <c r="V27" s="47">
        <f t="shared" si="3"/>
        <v>-0.11282633129393993</v>
      </c>
    </row>
    <row r="30" spans="1:22">
      <c r="J30" s="48"/>
    </row>
  </sheetData>
  <mergeCells count="7">
    <mergeCell ref="U14:V14"/>
    <mergeCell ref="B14:D14"/>
    <mergeCell ref="H14:J14"/>
    <mergeCell ref="K14:M14"/>
    <mergeCell ref="E14:G14"/>
    <mergeCell ref="N14:P14"/>
    <mergeCell ref="Q14:S14"/>
  </mergeCells>
  <conditionalFormatting sqref="U16:U27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V16:V27">
    <cfRule type="cellIs" dxfId="33" priority="1" operator="greaterThan">
      <formula>0</formula>
    </cfRule>
    <cfRule type="cellIs" dxfId="32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2025-03-01T03:50:07Z</dcterms:modified>
</cp:coreProperties>
</file>