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robsonrcc\Downloads\"/>
    </mc:Choice>
  </mc:AlternateContent>
  <xr:revisionPtr revIDLastSave="0" documentId="8_{E8ADD0D2-884C-4926-B630-5032ADDFA29B}" xr6:coauthVersionLast="47" xr6:coauthVersionMax="47" xr10:uidLastSave="{00000000-0000-0000-0000-000000000000}"/>
  <bookViews>
    <workbookView xWindow="-110" yWindow="-110" windowWidth="38620" windowHeight="21220" activeTab="2" xr2:uid="{4B9A0E89-C844-4496-B098-AB62AA7CAA1B}"/>
  </bookViews>
  <sheets>
    <sheet name="Planilha1" sheetId="1" r:id="rId1"/>
    <sheet name="Planilha2" sheetId="2" r:id="rId2"/>
    <sheet name="Planilha3" sheetId="3" r:id="rId3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3" l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3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</calcChain>
</file>

<file path=xl/sharedStrings.xml><?xml version="1.0" encoding="utf-8"?>
<sst xmlns="http://schemas.openxmlformats.org/spreadsheetml/2006/main" count="436" uniqueCount="162">
  <si>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</si>
  <si>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</si>
  <si>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</si>
  <si>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</si>
  <si>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</si>
  <si>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</si>
  <si>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</si>
  <si>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</si>
  <si>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</si>
  <si>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</si>
  <si>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</si>
  <si>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</si>
  <si>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</si>
  <si>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</si>
  <si>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</si>
  <si>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</si>
  <si>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</si>
  <si>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</si>
  <si>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</si>
  <si>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</si>
  <si>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</si>
  <si>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</si>
  <si>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</si>
  <si>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</si>
  <si>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</si>
  <si>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</si>
  <si>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</si>
  <si>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</si>
  <si>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</si>
  <si>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</si>
  <si>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</si>
  <si>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</si>
  <si>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</si>
  <si>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</si>
  <si>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</si>
  <si>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</si>
  <si>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</si>
  <si>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</si>
  <si>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</si>
  <si>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</si>
  <si>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</si>
  <si>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</si>
  <si>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</si>
  <si>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</si>
  <si>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</si>
  <si>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</si>
  <si>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</si>
  <si>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</si>
  <si>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</si>
  <si>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</si>
  <si>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</si>
  <si>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</si>
  <si>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</si>
  <si>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</si>
  <si>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</si>
  <si>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</si>
  <si>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</si>
  <si>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</si>
  <si>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</si>
  <si>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</si>
  <si>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</si>
  <si>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</si>
  <si>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</si>
  <si>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</si>
  <si>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</si>
  <si>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</si>
  <si>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</si>
  <si>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</si>
  <si>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</si>
  <si>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</si>
  <si>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</si>
  <si>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</si>
  <si>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</si>
  <si>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</si>
  <si>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</si>
  <si>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</si>
  <si>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</si>
  <si>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</si>
  <si>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</si>
  <si>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</si>
  <si>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</si>
  <si>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</si>
  <si>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</si>
  <si>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</si>
  <si>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</si>
  <si>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</si>
  <si>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</si>
  <si>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</si>
  <si>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</si>
  <si>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</si>
  <si>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</si>
  <si>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</si>
  <si>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</si>
  <si>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</si>
  <si>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</si>
  <si>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</si>
  <si>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</si>
  <si>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</si>
  <si>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</si>
  <si>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</si>
  <si>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</si>
  <si>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</si>
  <si>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</si>
  <si>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</si>
  <si>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</si>
  <si>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</si>
  <si>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</si>
  <si>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</si>
  <si>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</si>
  <si>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</si>
  <si>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</si>
  <si>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</si>
  <si>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</si>
  <si>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</si>
  <si>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</si>
  <si>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</si>
  <si>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</si>
  <si>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</si>
  <si>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</si>
  <si>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</si>
  <si>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</si>
  <si>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</si>
  <si>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</si>
  <si>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</si>
  <si>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</si>
  <si>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</si>
  <si>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</si>
  <si>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</si>
  <si>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</si>
  <si>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</si>
  <si>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</si>
  <si>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</si>
  <si>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</si>
  <si>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</si>
  <si>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</si>
  <si>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</si>
  <si>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</si>
  <si>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</si>
  <si>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</si>
  <si>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</si>
  <si>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</si>
  <si>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</si>
  <si>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</si>
  <si>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</si>
  <si>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</si>
  <si>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</si>
  <si>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</si>
  <si>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</si>
  <si>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</si>
  <si>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</si>
  <si>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</si>
  <si>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</si>
  <si>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</si>
  <si>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</si>
  <si>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</si>
  <si>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</si>
  <si>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</si>
  <si>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</si>
  <si>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Bonus Percent</t>
  </si>
  <si>
    <t>Power Total</t>
  </si>
  <si>
    <t>userId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</si>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</sst>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Aptos Narrow"/>
      <family val="2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53"/>
  <sheetViews>
    <sheetView workbookViewId="0">
      <selection activeCell="A2" sqref="A2:B53"/>
    </sheetView>
  </sheetViews>
  <sheetFormatPr defaultRowHeight="14.5"/>
  <cols>
    <col min="1" max="1" width="26.54296875" bestFit="1" customWidth="1"/>
    <col min="2" max="2" width="16" bestFit="1" customWidth="1"/>
    <col min="3" max="3" width="24" customWidth="1"/>
    <col min="4" max="4" width="12.269531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31</v>
      </c>
      <c r="B2" t="s">
        <v>32</v>
      </c>
      <c r="C2" s="2">
        <v>4348941254.7987995</v>
      </c>
      <c r="D2">
        <v>1</v>
      </c>
      <c r="E2" t="s">
        <v>66</v>
      </c>
    </row>
    <row r="3" spans="1:5">
      <c r="A3" t="s">
        <v>122</v>
      </c>
      <c r="B3" t="s">
        <v>123</v>
      </c>
      <c r="C3">
        <v>4003797510.1447997</v>
      </c>
      <c r="D3">
        <v>2</v>
      </c>
      <c r="E3" t="s">
        <v>124</v>
      </c>
    </row>
    <row r="4" spans="1:5">
      <c r="A4" s="2" t="s">
        <v>24</v>
      </c>
      <c r="B4" t="s">
        <v>20</v>
      </c>
      <c r="C4" s="2">
        <v>3774782026.3442001</v>
      </c>
      <c r="D4">
        <v>3</v>
      </c>
      <c r="E4" t="s">
        <v>65</v>
      </c>
    </row>
    <row r="5" spans="1:5">
      <c r="A5" s="2" t="s">
        <v>46</v>
      </c>
      <c r="B5" t="s">
        <v>45</v>
      </c>
      <c r="C5" s="2">
        <v>3248375778.1055999</v>
      </c>
      <c r="D5">
        <v>4</v>
      </c>
      <c r="E5" t="s">
        <v>67</v>
      </c>
    </row>
    <row r="6" spans="1:5">
      <c r="A6" s="1" t="s">
        <v>5</v>
      </c>
      <c r="B6" t="s">
        <v>3</v>
      </c>
      <c r="C6" s="2">
        <v>2938825004.5942001</v>
      </c>
      <c r="D6">
        <v>5</v>
      </c>
      <c r="E6" t="s">
        <v>3</v>
      </c>
    </row>
    <row r="7" spans="1:5">
      <c r="A7" s="1" t="s">
        <v>1</v>
      </c>
      <c r="B7" t="s">
        <v>0</v>
      </c>
      <c r="C7" s="2">
        <v>2012790898.28</v>
      </c>
      <c r="D7">
        <v>6</v>
      </c>
      <c r="E7" t="s">
        <v>0</v>
      </c>
    </row>
    <row r="8" spans="1:5">
      <c r="A8" s="2" t="s">
        <v>44</v>
      </c>
      <c r="B8" t="s">
        <v>43</v>
      </c>
      <c r="C8" s="2">
        <v>1979902147.681</v>
      </c>
      <c r="D8">
        <v>7</v>
      </c>
      <c r="E8" t="s">
        <v>43</v>
      </c>
    </row>
    <row r="9" spans="1:5">
      <c r="A9" s="2" t="s">
        <v>48</v>
      </c>
      <c r="B9" s="2" t="s">
        <v>47</v>
      </c>
      <c r="C9" s="2">
        <v>1385755540.3439999</v>
      </c>
      <c r="D9">
        <v>8</v>
      </c>
      <c r="E9" t="s">
        <v>68</v>
      </c>
    </row>
    <row r="10" spans="1:5">
      <c r="A10" t="s">
        <v>141</v>
      </c>
      <c r="B10" t="s">
        <v>142</v>
      </c>
      <c r="C10">
        <v>1284761330.7361</v>
      </c>
      <c r="D10">
        <v>9</v>
      </c>
      <c r="E10" t="s">
        <v>143</v>
      </c>
    </row>
    <row r="11" spans="1:5">
      <c r="A11" s="2" t="s">
        <v>60</v>
      </c>
      <c r="B11" t="s">
        <v>106</v>
      </c>
      <c r="C11" s="2">
        <v>1111689499.0688</v>
      </c>
      <c r="D11">
        <v>10</v>
      </c>
      <c r="E11" t="s">
        <v>59</v>
      </c>
    </row>
    <row r="12" spans="1:5">
      <c r="A12" s="2" t="s">
        <v>50</v>
      </c>
      <c r="B12" t="s">
        <v>49</v>
      </c>
      <c r="C12" s="2">
        <v>821606745.99040008</v>
      </c>
      <c r="D12">
        <v>11</v>
      </c>
      <c r="E12" t="s">
        <v>71</v>
      </c>
    </row>
    <row r="13" spans="1:5">
      <c r="A13" t="s">
        <v>125</v>
      </c>
      <c r="B13" t="s">
        <v>126</v>
      </c>
      <c r="C13">
        <v>811303133.25059998</v>
      </c>
      <c r="D13">
        <v>12</v>
      </c>
      <c r="E13" t="s">
        <v>127</v>
      </c>
    </row>
    <row r="14" spans="1:5">
      <c r="A14" t="s">
        <v>134</v>
      </c>
      <c r="B14" t="s">
        <v>135</v>
      </c>
      <c r="C14">
        <v>800339243.25639999</v>
      </c>
      <c r="D14">
        <v>13</v>
      </c>
      <c r="E14" t="s">
        <v>136</v>
      </c>
    </row>
    <row r="15" spans="1:5">
      <c r="A15" s="3" t="s">
        <v>90</v>
      </c>
      <c r="B15" t="s">
        <v>88</v>
      </c>
      <c r="C15" s="2">
        <v>738436967.85400009</v>
      </c>
      <c r="D15">
        <v>14</v>
      </c>
      <c r="E15" t="s">
        <v>89</v>
      </c>
    </row>
    <row r="16" spans="1:5">
      <c r="A16" s="2" t="s">
        <v>95</v>
      </c>
      <c r="B16" t="s">
        <v>94</v>
      </c>
      <c r="C16" s="2">
        <v>728782445.88909996</v>
      </c>
      <c r="D16">
        <v>15</v>
      </c>
      <c r="E16" t="s">
        <v>137</v>
      </c>
    </row>
    <row r="17" spans="1:5">
      <c r="A17" t="s">
        <v>6</v>
      </c>
      <c r="B17" t="s">
        <v>4</v>
      </c>
      <c r="C17" s="2">
        <v>692615308.15999997</v>
      </c>
      <c r="D17">
        <v>16</v>
      </c>
      <c r="E17" t="s">
        <v>4</v>
      </c>
    </row>
    <row r="18" spans="1:5">
      <c r="A18" s="2" t="s">
        <v>40</v>
      </c>
      <c r="B18" t="s">
        <v>39</v>
      </c>
      <c r="C18" s="2">
        <v>685404425.62129998</v>
      </c>
      <c r="D18">
        <v>17</v>
      </c>
      <c r="E18" t="s">
        <v>69</v>
      </c>
    </row>
    <row r="19" spans="1:5">
      <c r="A19" t="s">
        <v>131</v>
      </c>
      <c r="B19" t="s">
        <v>132</v>
      </c>
      <c r="C19">
        <v>677708779.17080009</v>
      </c>
      <c r="D19">
        <v>18</v>
      </c>
      <c r="E19" t="s">
        <v>133</v>
      </c>
    </row>
    <row r="20" spans="1:5">
      <c r="A20" t="s">
        <v>97</v>
      </c>
      <c r="B20" t="s">
        <v>98</v>
      </c>
      <c r="C20">
        <v>593489065.87600005</v>
      </c>
      <c r="D20">
        <v>19</v>
      </c>
      <c r="E20" t="s">
        <v>99</v>
      </c>
    </row>
    <row r="21" spans="1:5">
      <c r="A21" s="2" t="s">
        <v>29</v>
      </c>
      <c r="B21" t="s">
        <v>27</v>
      </c>
      <c r="C21" s="2">
        <v>589635534.23020005</v>
      </c>
      <c r="D21">
        <v>20</v>
      </c>
      <c r="E21" t="s">
        <v>72</v>
      </c>
    </row>
    <row r="22" spans="1:5">
      <c r="A22" t="s">
        <v>154</v>
      </c>
      <c r="B22" t="s">
        <v>155</v>
      </c>
      <c r="C22">
        <v>556930336.76709998</v>
      </c>
      <c r="D22">
        <v>21</v>
      </c>
      <c r="E22" t="s">
        <v>156</v>
      </c>
    </row>
    <row r="23" spans="1:5">
      <c r="A23" s="2" t="s">
        <v>28</v>
      </c>
      <c r="B23" t="s">
        <v>26</v>
      </c>
      <c r="C23" s="2">
        <v>504636131.2791</v>
      </c>
      <c r="D23">
        <v>22</v>
      </c>
      <c r="E23" t="s">
        <v>70</v>
      </c>
    </row>
    <row r="24" spans="1:5">
      <c r="A24" s="2" t="s">
        <v>93</v>
      </c>
      <c r="B24" t="s">
        <v>91</v>
      </c>
      <c r="C24" s="2">
        <v>486880037.8872</v>
      </c>
      <c r="D24">
        <v>23</v>
      </c>
      <c r="E24" t="s">
        <v>92</v>
      </c>
    </row>
    <row r="25" spans="1:5">
      <c r="A25" t="s">
        <v>107</v>
      </c>
      <c r="B25" t="s">
        <v>108</v>
      </c>
      <c r="C25">
        <v>448339514.95200002</v>
      </c>
      <c r="D25">
        <v>24</v>
      </c>
      <c r="E25" t="s">
        <v>109</v>
      </c>
    </row>
    <row r="26" spans="1:5">
      <c r="A26" t="s">
        <v>144</v>
      </c>
      <c r="B26" t="s">
        <v>150</v>
      </c>
      <c r="C26">
        <v>417445728.44319999</v>
      </c>
      <c r="D26">
        <v>25</v>
      </c>
      <c r="E26" t="s">
        <v>146</v>
      </c>
    </row>
    <row r="27" spans="1:5">
      <c r="A27" t="s">
        <v>110</v>
      </c>
      <c r="B27" t="s">
        <v>111</v>
      </c>
      <c r="C27">
        <v>359936250.26420003</v>
      </c>
      <c r="D27">
        <v>26</v>
      </c>
      <c r="E27" t="s">
        <v>112</v>
      </c>
    </row>
    <row r="28" spans="1:5">
      <c r="A28" s="2" t="s">
        <v>14</v>
      </c>
      <c r="B28" t="s">
        <v>12</v>
      </c>
      <c r="C28" s="2">
        <v>315864384.70749998</v>
      </c>
      <c r="D28">
        <v>27</v>
      </c>
      <c r="E28" t="s">
        <v>73</v>
      </c>
    </row>
    <row r="29" spans="1:5">
      <c r="A29" t="s">
        <v>138</v>
      </c>
      <c r="B29" t="s">
        <v>139</v>
      </c>
      <c r="C29">
        <v>313414608.78100002</v>
      </c>
      <c r="D29">
        <v>28</v>
      </c>
      <c r="E29" t="s">
        <v>140</v>
      </c>
    </row>
    <row r="30" spans="1:5">
      <c r="A30" t="s">
        <v>113</v>
      </c>
      <c r="B30" t="s">
        <v>114</v>
      </c>
      <c r="C30">
        <v>310619299.91360003</v>
      </c>
      <c r="D30">
        <v>29</v>
      </c>
      <c r="E30" t="s">
        <v>115</v>
      </c>
    </row>
    <row r="31" spans="1:5">
      <c r="A31" t="s">
        <v>100</v>
      </c>
      <c r="B31" t="s">
        <v>101</v>
      </c>
      <c r="C31">
        <v>301375587.34799999</v>
      </c>
      <c r="D31">
        <v>30</v>
      </c>
      <c r="E31" t="s">
        <v>102</v>
      </c>
    </row>
    <row r="32" spans="1:5">
      <c r="A32" s="2" t="s">
        <v>23</v>
      </c>
      <c r="B32" t="s">
        <v>18</v>
      </c>
      <c r="C32" s="2">
        <v>238599332.528</v>
      </c>
      <c r="D32">
        <v>31</v>
      </c>
      <c r="E32" t="s">
        <v>78</v>
      </c>
    </row>
    <row r="33" spans="1:5">
      <c r="A33" t="s">
        <v>116</v>
      </c>
      <c r="B33" t="s">
        <v>117</v>
      </c>
      <c r="C33">
        <v>197589322.26839998</v>
      </c>
      <c r="D33">
        <v>32</v>
      </c>
      <c r="E33" t="s">
        <v>118</v>
      </c>
    </row>
    <row r="34" spans="1:5">
      <c r="A34" s="2" t="s">
        <v>37</v>
      </c>
      <c r="B34" t="s">
        <v>38</v>
      </c>
      <c r="C34" s="2">
        <v>194189104.78799999</v>
      </c>
      <c r="D34">
        <v>33</v>
      </c>
      <c r="E34" t="s">
        <v>75</v>
      </c>
    </row>
    <row r="35" spans="1:5">
      <c r="A35" s="2" t="s">
        <v>64</v>
      </c>
      <c r="B35" t="s">
        <v>63</v>
      </c>
      <c r="C35" s="2">
        <v>180090133.9522</v>
      </c>
      <c r="D35">
        <v>34</v>
      </c>
      <c r="E35" t="s">
        <v>76</v>
      </c>
    </row>
    <row r="36" spans="1:5">
      <c r="A36" t="s">
        <v>147</v>
      </c>
      <c r="B36" t="s">
        <v>148</v>
      </c>
      <c r="C36">
        <v>162040547.17699999</v>
      </c>
      <c r="D36">
        <v>35</v>
      </c>
      <c r="E36" t="s">
        <v>149</v>
      </c>
    </row>
    <row r="37" spans="1:5">
      <c r="A37" s="2" t="s">
        <v>15</v>
      </c>
      <c r="B37" t="s">
        <v>11</v>
      </c>
      <c r="C37" s="2">
        <v>154925959.66749999</v>
      </c>
      <c r="D37">
        <v>36</v>
      </c>
      <c r="E37" t="s">
        <v>79</v>
      </c>
    </row>
    <row r="38" spans="1:5">
      <c r="A38" t="s">
        <v>58</v>
      </c>
      <c r="B38" s="2" t="s">
        <v>57</v>
      </c>
      <c r="C38" s="2">
        <v>136433830.55849999</v>
      </c>
      <c r="D38">
        <v>37</v>
      </c>
      <c r="E38" t="s">
        <v>74</v>
      </c>
    </row>
    <row r="39" spans="1:5">
      <c r="A39" s="2" t="s">
        <v>41</v>
      </c>
      <c r="B39" s="2" t="s">
        <v>42</v>
      </c>
      <c r="C39" s="2">
        <v>133819927.1758</v>
      </c>
      <c r="D39">
        <v>38</v>
      </c>
      <c r="E39" t="s">
        <v>77</v>
      </c>
    </row>
    <row r="40" spans="1:5">
      <c r="A40" s="2" t="s">
        <v>52</v>
      </c>
      <c r="B40" s="2" t="s">
        <v>51</v>
      </c>
      <c r="C40" s="2">
        <v>120817594.3212</v>
      </c>
      <c r="D40">
        <v>39</v>
      </c>
      <c r="E40" t="s">
        <v>83</v>
      </c>
    </row>
    <row r="41" spans="1:5">
      <c r="A41" s="2" t="s">
        <v>16</v>
      </c>
      <c r="B41" t="s">
        <v>13</v>
      </c>
      <c r="C41" s="2">
        <v>111604022.464</v>
      </c>
      <c r="D41">
        <v>40</v>
      </c>
      <c r="E41" t="s">
        <v>81</v>
      </c>
    </row>
    <row r="42" spans="1:5">
      <c r="A42" t="s">
        <v>119</v>
      </c>
      <c r="B42" t="s">
        <v>120</v>
      </c>
      <c r="C42">
        <v>104920327.2648</v>
      </c>
      <c r="D42">
        <v>41</v>
      </c>
      <c r="E42" t="s">
        <v>121</v>
      </c>
    </row>
    <row r="43" spans="1:5">
      <c r="A43" s="2" t="s">
        <v>21</v>
      </c>
      <c r="B43" t="s">
        <v>19</v>
      </c>
      <c r="C43" s="2">
        <v>85138524.083200008</v>
      </c>
      <c r="D43">
        <v>42</v>
      </c>
      <c r="E43" t="s">
        <v>84</v>
      </c>
    </row>
    <row r="44" spans="1:5">
      <c r="A44" s="2" t="s">
        <v>30</v>
      </c>
      <c r="B44" t="s">
        <v>25</v>
      </c>
      <c r="C44" s="2">
        <v>65370627.055800006</v>
      </c>
      <c r="D44">
        <v>43</v>
      </c>
      <c r="E44" t="s">
        <v>80</v>
      </c>
    </row>
    <row r="45" spans="1:5">
      <c r="A45" s="2" t="s">
        <v>22</v>
      </c>
      <c r="B45" t="s">
        <v>17</v>
      </c>
      <c r="C45" s="2">
        <v>62913253.0348</v>
      </c>
      <c r="D45">
        <v>44</v>
      </c>
      <c r="E45" t="s">
        <v>82</v>
      </c>
    </row>
    <row r="46" spans="1:5">
      <c r="A46" s="2" t="s">
        <v>54</v>
      </c>
      <c r="B46" t="s">
        <v>53</v>
      </c>
      <c r="C46" s="2">
        <v>60687543.725400001</v>
      </c>
      <c r="D46">
        <v>45</v>
      </c>
      <c r="E46" t="s">
        <v>86</v>
      </c>
    </row>
    <row r="47" spans="1:5">
      <c r="A47" s="2" t="s">
        <v>36</v>
      </c>
      <c r="B47" t="s">
        <v>35</v>
      </c>
      <c r="C47" s="2">
        <v>37230906.711999997</v>
      </c>
      <c r="D47">
        <v>46</v>
      </c>
      <c r="E47" t="s">
        <v>87</v>
      </c>
    </row>
    <row r="48" spans="1:5">
      <c r="A48" s="2" t="s">
        <v>34</v>
      </c>
      <c r="B48" t="s">
        <v>33</v>
      </c>
      <c r="C48" s="2">
        <v>29539074.563200001</v>
      </c>
      <c r="D48">
        <v>47</v>
      </c>
      <c r="E48" t="s">
        <v>96</v>
      </c>
    </row>
    <row r="49" spans="1:5">
      <c r="A49" s="3" t="s">
        <v>56</v>
      </c>
      <c r="B49" t="s">
        <v>55</v>
      </c>
      <c r="C49" s="2">
        <v>27681815.642499998</v>
      </c>
      <c r="D49">
        <v>48</v>
      </c>
      <c r="E49" t="s">
        <v>85</v>
      </c>
    </row>
    <row r="50" spans="1:5">
      <c r="A50" t="s">
        <v>128</v>
      </c>
      <c r="B50" t="s">
        <v>129</v>
      </c>
      <c r="C50">
        <v>27049554.524999999</v>
      </c>
      <c r="D50">
        <v>49</v>
      </c>
      <c r="E50" t="s">
        <v>130</v>
      </c>
    </row>
    <row r="51" spans="1:5">
      <c r="A51" t="s">
        <v>151</v>
      </c>
      <c r="B51" t="s">
        <v>145</v>
      </c>
      <c r="C51">
        <v>25491588.609999999</v>
      </c>
      <c r="D51">
        <v>50</v>
      </c>
      <c r="E51" t="s">
        <v>152</v>
      </c>
    </row>
    <row r="52" spans="1:5">
      <c r="A52" s="2" t="s">
        <v>62</v>
      </c>
      <c r="B52" t="s">
        <v>61</v>
      </c>
      <c r="C52" s="2">
        <v>11642777.654300001</v>
      </c>
      <c r="D52">
        <v>51</v>
      </c>
      <c r="E52" t="s">
        <v>153</v>
      </c>
    </row>
    <row r="53" spans="1:5">
      <c r="A53" t="s">
        <v>103</v>
      </c>
      <c r="B53" t="s">
        <v>104</v>
      </c>
      <c r="C53">
        <v>1332479.6470000001</v>
      </c>
      <c r="D53">
        <v>52</v>
      </c>
      <c r="E53" t="s">
        <v>105</v>
      </c>
    </row>
  </sheetData>
  <autoFilter ref="A1:E1" xr:uid="{F35CEFC1-B3C5-47E8-B313-C5CF74631A2D}">
    <sortState xmlns:xlrd2="http://schemas.microsoft.com/office/spreadsheetml/2017/richdata2" ref="A2:E53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F53"/>
  <sheetViews>
    <sheetView workbookViewId="0">
      <selection activeCell="B38" sqref="B38"/>
    </sheetView>
  </sheetViews>
  <sheetFormatPr defaultRowHeight="14.5"/>
  <cols>
    <col min="1" max="1" width="26.54296875" bestFit="1" customWidth="1"/>
    <col min="2" max="3" width="16" bestFit="1" customWidth="1"/>
    <col min="4" max="4" width="8.1796875" bestFit="1" customWidth="1"/>
    <col min="5" max="6" width="12" bestFit="1" customWidth="1"/>
  </cols>
  <sheetData>
    <row r="1" spans="1:6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</row>
    <row r="2" spans="1:6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6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6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6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6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6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6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6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6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6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6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6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6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6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6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s="2" t="s">
        <v>21</v>
      </c>
      <c r="B43" t="s">
        <v>19</v>
      </c>
      <c r="C43" t="s">
        <v>84</v>
      </c>
      <c r="D43">
        <v>42</v>
      </c>
      <c r="E43" s="2">
        <v>50149726.883000001</v>
      </c>
      <c r="F43">
        <v>85138524.083200008</v>
      </c>
    </row>
    <row r="44" spans="1:6">
      <c r="A44" s="2" t="s">
        <v>30</v>
      </c>
      <c r="B44" t="s">
        <v>25</v>
      </c>
      <c r="C44" t="s">
        <v>80</v>
      </c>
      <c r="D44">
        <v>43</v>
      </c>
      <c r="E44" s="2">
        <v>59153909.284900002</v>
      </c>
      <c r="F44">
        <v>65370627.055800006</v>
      </c>
    </row>
    <row r="45" spans="1:6">
      <c r="A45" s="2" t="s">
        <v>22</v>
      </c>
      <c r="B45" t="s">
        <v>17</v>
      </c>
      <c r="C45" t="s">
        <v>82</v>
      </c>
      <c r="D45">
        <v>44</v>
      </c>
      <c r="E45" s="2">
        <v>53041131.842299998</v>
      </c>
      <c r="F45">
        <v>62913253.0348</v>
      </c>
    </row>
    <row r="46" spans="1:6">
      <c r="A46" s="2" t="s">
        <v>54</v>
      </c>
      <c r="B46" t="s">
        <v>53</v>
      </c>
      <c r="C46" t="s">
        <v>86</v>
      </c>
      <c r="D46">
        <v>45</v>
      </c>
      <c r="E46" s="2">
        <v>43858659.606399998</v>
      </c>
      <c r="F46">
        <v>60687543.725400001</v>
      </c>
    </row>
    <row r="47" spans="1:6">
      <c r="A47" s="2" t="s">
        <v>36</v>
      </c>
      <c r="B47" t="s">
        <v>35</v>
      </c>
      <c r="C47" t="s">
        <v>87</v>
      </c>
      <c r="D47">
        <v>46</v>
      </c>
      <c r="E47" s="2">
        <v>3544060.574</v>
      </c>
      <c r="F47">
        <v>37230906.711999997</v>
      </c>
    </row>
    <row r="48" spans="1:6">
      <c r="A48" s="2" t="s">
        <v>34</v>
      </c>
      <c r="B48" t="s">
        <v>33</v>
      </c>
      <c r="C48" t="s">
        <v>96</v>
      </c>
      <c r="D48">
        <v>47</v>
      </c>
      <c r="E48" s="2">
        <v>20362497.193599999</v>
      </c>
      <c r="F48">
        <v>29539074.563200001</v>
      </c>
    </row>
    <row r="49" spans="1:6">
      <c r="A49" s="3" t="s">
        <v>56</v>
      </c>
      <c r="B49" t="s">
        <v>55</v>
      </c>
      <c r="C49" t="s">
        <v>85</v>
      </c>
      <c r="D49">
        <v>48</v>
      </c>
      <c r="E49" s="2">
        <v>18949434.361499999</v>
      </c>
      <c r="F49">
        <v>27681815.642499998</v>
      </c>
    </row>
    <row r="50" spans="1:6">
      <c r="A50" t="s">
        <v>128</v>
      </c>
      <c r="B50" t="s">
        <v>129</v>
      </c>
      <c r="C50" t="s">
        <v>130</v>
      </c>
      <c r="D50">
        <v>49</v>
      </c>
      <c r="E50">
        <v>28198724.971999999</v>
      </c>
      <c r="F50">
        <v>27049554.524999999</v>
      </c>
    </row>
    <row r="51" spans="1:6">
      <c r="A51" t="s">
        <v>151</v>
      </c>
      <c r="B51" t="s">
        <v>145</v>
      </c>
      <c r="C51" t="s">
        <v>152</v>
      </c>
      <c r="D51">
        <v>50</v>
      </c>
      <c r="E51">
        <v>6053416.017</v>
      </c>
      <c r="F51">
        <v>25491588.609999999</v>
      </c>
    </row>
    <row r="52" spans="1:6">
      <c r="A52" s="2" t="s">
        <v>62</v>
      </c>
      <c r="B52" t="s">
        <v>61</v>
      </c>
      <c r="C52" t="s">
        <v>153</v>
      </c>
      <c r="D52">
        <v>51</v>
      </c>
      <c r="E52" s="2">
        <v>8692015.4945</v>
      </c>
      <c r="F52">
        <v>11642777.654300001</v>
      </c>
    </row>
    <row r="53" spans="1:6">
      <c r="A53" t="s">
        <v>103</v>
      </c>
      <c r="B53" t="s">
        <v>104</v>
      </c>
      <c r="C53" t="s">
        <v>105</v>
      </c>
      <c r="D53">
        <v>52</v>
      </c>
      <c r="E53">
        <v>824668.91949999996</v>
      </c>
      <c r="F53">
        <v>1332479.6470000001</v>
      </c>
    </row>
  </sheetData>
  <autoFilter ref="A1:F1" xr:uid="{A5788FF4-0F5B-4C97-BD54-4A086642F406}">
    <sortState xmlns:xlrd2="http://schemas.microsoft.com/office/spreadsheetml/2017/richdata2" ref="A2:F53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L54"/>
  <sheetViews>
    <sheetView tabSelected="1" workbookViewId="0">
      <selection activeCell="J2" sqref="J2"/>
    </sheetView>
  </sheetViews>
  <sheetFormatPr defaultRowHeight="14.5"/>
  <cols>
    <col min="1" max="1" width="30.36328125" customWidth="1"/>
    <col min="2" max="2" width="25.1796875" bestFit="1" customWidth="1"/>
    <col min="3" max="3" width="14.90625" bestFit="1" customWidth="1"/>
    <col min="4" max="4" width="11.6328125" bestFit="1" customWidth="1"/>
    <col min="5" max="5" width="12.54296875" bestFit="1" customWidth="1"/>
    <col min="6" max="6" width="19.54296875" bestFit="1" customWidth="1"/>
    <col min="7" max="7" width="11.6328125" bestFit="1" customWidth="1"/>
    <col min="8" max="8" width="12.54296875" bestFit="1" customWidth="1"/>
    <col min="9" max="9" width="11.81640625" bestFit="1" customWidth="1"/>
    <col min="10" max="10" width="10.08984375" bestFit="1" customWidth="1"/>
    <col min="11" max="11" width="11.81640625" bestFit="1" customWidth="1"/>
    <col min="12" max="12" width="10.81640625" bestFit="1" customWidth="1"/>
  </cols>
  <sheetData>
    <row r="1" spans="1:12">
      <c r="A1" s="4"/>
      <c r="D1" s="4">
        <v>45539</v>
      </c>
      <c r="G1" s="4">
        <v>45540</v>
      </c>
      <c r="J1" s="4">
        <v>45541</v>
      </c>
    </row>
    <row r="2" spans="1:12">
      <c r="B2" t="s">
        <v>160</v>
      </c>
      <c r="C2" t="s">
        <v>161</v>
      </c>
      <c r="D2" t="s">
        <v>157</v>
      </c>
      <c r="E2" t="s">
        <v>158</v>
      </c>
      <c r="F2" t="s">
        <v>159</v>
      </c>
      <c r="G2" t="s">
        <v>157</v>
      </c>
      <c r="H2" t="s">
        <v>158</v>
      </c>
      <c r="I2" t="s">
        <v>159</v>
      </c>
      <c r="J2" t="s">
        <v>157</v>
      </c>
      <c r="K2" t="s">
        <v>158</v>
      </c>
      <c r="L2" t="s">
        <v>159</v>
      </c>
    </row>
    <row r="3" spans="1:12">
      <c r="B3" s="2" t="s">
        <v>31</v>
      </c>
      <c r="C3" t="s">
        <v>32</v>
      </c>
      <c r="D3">
        <v>473268357</v>
      </c>
      <c r="E3">
        <v>844.12</v>
      </c>
      <c r="F3" s="5">
        <f>SUM($D$3*(($E$3/100)+1))</f>
        <v>4468221212.1084003</v>
      </c>
      <c r="G3">
        <v>520595192.70000005</v>
      </c>
      <c r="H3">
        <v>859.12</v>
      </c>
      <c r="I3">
        <f>SUM($G$3*(($H$3/100)+1))</f>
        <v>4993132612.2242403</v>
      </c>
      <c r="J3">
        <v>572654711.97000015</v>
      </c>
      <c r="K3">
        <v>874.12</v>
      </c>
      <c r="L3">
        <f>J3*((K3/100)+1)</f>
        <v>5578344080.2421646</v>
      </c>
    </row>
    <row r="4" spans="1:12">
      <c r="B4" t="s">
        <v>122</v>
      </c>
      <c r="C4" t="s">
        <v>123</v>
      </c>
      <c r="D4">
        <v>465215851</v>
      </c>
      <c r="E4">
        <v>755.14</v>
      </c>
      <c r="F4">
        <f>SUM($D$4*(($E$4/100)+1))</f>
        <v>3978246828.2414002</v>
      </c>
      <c r="G4">
        <v>511737436.10000002</v>
      </c>
      <c r="H4">
        <v>770.14</v>
      </c>
      <c r="I4">
        <f>SUM($G$4*(($H$4/100)+1))</f>
        <v>4452832126.4805403</v>
      </c>
      <c r="J4">
        <v>562911179.71000004</v>
      </c>
      <c r="K4">
        <v>785.14</v>
      </c>
      <c r="L4">
        <f t="shared" ref="L4:L54" si="0">J4*((K4/100)+1)</f>
        <v>4982552016.0850945</v>
      </c>
    </row>
    <row r="5" spans="1:12">
      <c r="B5" s="2" t="s">
        <v>24</v>
      </c>
      <c r="C5" t="s">
        <v>20</v>
      </c>
      <c r="D5">
        <v>452551276</v>
      </c>
      <c r="E5">
        <v>733.85</v>
      </c>
      <c r="F5">
        <f>SUM($D$5*(($E$5/100)+1))</f>
        <v>3773598814.9260001</v>
      </c>
      <c r="G5">
        <v>497806403.60000002</v>
      </c>
      <c r="H5">
        <v>748.85</v>
      </c>
      <c r="I5">
        <f>SUM($G$5*(($H$5/100)+1))</f>
        <v>4225629656.9586</v>
      </c>
      <c r="J5">
        <v>547587043.96000004</v>
      </c>
      <c r="K5">
        <v>763.85</v>
      </c>
      <c r="L5">
        <f t="shared" si="0"/>
        <v>4730330679.2484608</v>
      </c>
    </row>
    <row r="6" spans="1:12">
      <c r="B6" s="2" t="s">
        <v>46</v>
      </c>
      <c r="C6" t="s">
        <v>45</v>
      </c>
      <c r="D6">
        <v>417958832</v>
      </c>
      <c r="E6">
        <v>665.83</v>
      </c>
      <c r="F6">
        <f>SUM($D$6*(($E$6/100)+1))</f>
        <v>3200854123.1056004</v>
      </c>
      <c r="G6">
        <v>459754715.20000005</v>
      </c>
      <c r="H6">
        <v>680.83</v>
      </c>
      <c r="I6">
        <f>SUM($G$6*(($H$6/100)+1))</f>
        <v>3589902742.6961603</v>
      </c>
      <c r="J6">
        <v>505730186.72000009</v>
      </c>
      <c r="K6">
        <v>695.83</v>
      </c>
      <c r="L6">
        <f t="shared" si="0"/>
        <v>4024752544.9737768</v>
      </c>
    </row>
    <row r="7" spans="1:12">
      <c r="B7" s="1" t="s">
        <v>5</v>
      </c>
      <c r="C7" t="s">
        <v>3</v>
      </c>
      <c r="D7">
        <v>416679587</v>
      </c>
      <c r="E7">
        <v>647.08000000000004</v>
      </c>
      <c r="F7">
        <f>SUM($D$7*(($E$7/100)+1))</f>
        <v>3112929858.5596004</v>
      </c>
      <c r="G7">
        <v>458347545.70000005</v>
      </c>
      <c r="H7">
        <v>662.08</v>
      </c>
      <c r="I7">
        <f>SUM($G$7*(($H$7/100)+1))</f>
        <v>3492974976.2705603</v>
      </c>
      <c r="J7">
        <v>504182300.2700001</v>
      </c>
      <c r="K7">
        <v>677.08</v>
      </c>
      <c r="L7">
        <f t="shared" si="0"/>
        <v>3917899818.938117</v>
      </c>
    </row>
    <row r="8" spans="1:12">
      <c r="B8" s="1" t="s">
        <v>1</v>
      </c>
      <c r="C8" t="s">
        <v>0</v>
      </c>
      <c r="D8">
        <v>292512855</v>
      </c>
      <c r="E8">
        <v>586</v>
      </c>
      <c r="F8">
        <f>SUM($D$8*(($E$8/100)+1))</f>
        <v>2006638185.3000002</v>
      </c>
      <c r="G8">
        <v>321764140.5</v>
      </c>
      <c r="H8">
        <v>601</v>
      </c>
      <c r="I8">
        <f>SUM($G$8*(($H$8/100)+1))</f>
        <v>2255566624.9049997</v>
      </c>
      <c r="J8">
        <v>353940554.55000001</v>
      </c>
      <c r="K8">
        <v>616</v>
      </c>
      <c r="L8">
        <f t="shared" si="0"/>
        <v>2534214370.5780001</v>
      </c>
    </row>
    <row r="9" spans="1:12">
      <c r="B9" s="2" t="s">
        <v>44</v>
      </c>
      <c r="C9" t="s">
        <v>43</v>
      </c>
      <c r="D9">
        <v>297627873</v>
      </c>
      <c r="E9">
        <v>559.82000000000005</v>
      </c>
      <c r="F9">
        <f>SUM($D$9*(($E$9/100)+1))</f>
        <v>1963808231.6286001</v>
      </c>
      <c r="G9">
        <v>327390660.30000001</v>
      </c>
      <c r="H9">
        <v>574.82000000000005</v>
      </c>
      <c r="I9">
        <f>SUM($G$9*(($H$9/100)+1))</f>
        <v>2209297653.8364601</v>
      </c>
      <c r="J9">
        <v>360129726.33000004</v>
      </c>
      <c r="K9">
        <v>589.82000000000005</v>
      </c>
      <c r="L9">
        <f t="shared" si="0"/>
        <v>2484246878.1696062</v>
      </c>
    </row>
    <row r="10" spans="1:12">
      <c r="B10" s="2" t="s">
        <v>48</v>
      </c>
      <c r="C10" s="2" t="s">
        <v>47</v>
      </c>
      <c r="D10">
        <v>245307834</v>
      </c>
      <c r="E10">
        <v>476.52</v>
      </c>
      <c r="F10">
        <f>SUM($D$10*(($E$10/100)+1))</f>
        <v>1414248724.5768001</v>
      </c>
      <c r="G10">
        <v>269838617.40000004</v>
      </c>
      <c r="H10">
        <v>491.52</v>
      </c>
      <c r="I10">
        <f>SUM($G$10*(($H$10/100)+1))</f>
        <v>1596149389.64448</v>
      </c>
      <c r="J10">
        <v>296822479.14000005</v>
      </c>
      <c r="K10">
        <v>506.52</v>
      </c>
      <c r="L10">
        <f t="shared" si="0"/>
        <v>1800287700.4799283</v>
      </c>
    </row>
    <row r="11" spans="1:12">
      <c r="B11" t="s">
        <v>141</v>
      </c>
      <c r="C11" t="s">
        <v>142</v>
      </c>
      <c r="D11">
        <v>256781218</v>
      </c>
      <c r="E11">
        <v>388.87</v>
      </c>
      <c r="F11">
        <f>SUM($D$11*(($E$11/100)+1))</f>
        <v>1255326340.4366</v>
      </c>
      <c r="G11">
        <v>282459339.80000001</v>
      </c>
      <c r="H11">
        <v>403.87</v>
      </c>
      <c r="I11">
        <f>SUM($G$11*(($H$11/100)+1))</f>
        <v>1423227875.4502602</v>
      </c>
      <c r="J11">
        <v>310705273.78000003</v>
      </c>
      <c r="K11">
        <v>418.87</v>
      </c>
      <c r="L11">
        <f t="shared" si="0"/>
        <v>1612156454.0622861</v>
      </c>
    </row>
    <row r="12" spans="1:12">
      <c r="B12" s="2" t="s">
        <v>60</v>
      </c>
      <c r="C12" t="s">
        <v>106</v>
      </c>
      <c r="D12">
        <v>290955858</v>
      </c>
      <c r="E12">
        <v>267.20999999999998</v>
      </c>
      <c r="F12">
        <f>SUM($D$12*(($E$12/100)+1))</f>
        <v>1068419006.1618</v>
      </c>
      <c r="G12">
        <v>320051443.80000001</v>
      </c>
      <c r="H12">
        <v>282.20999999999998</v>
      </c>
      <c r="I12">
        <f>SUM($G$12*(($H$12/100)+1))</f>
        <v>1223268623.34798</v>
      </c>
      <c r="J12">
        <v>352056588.18000007</v>
      </c>
      <c r="K12">
        <v>297.20999999999998</v>
      </c>
      <c r="L12">
        <f t="shared" si="0"/>
        <v>1398403973.9097781</v>
      </c>
    </row>
    <row r="13" spans="1:12">
      <c r="B13" s="2" t="s">
        <v>50</v>
      </c>
      <c r="C13" t="s">
        <v>49</v>
      </c>
      <c r="D13">
        <v>153450336</v>
      </c>
      <c r="E13">
        <v>422.28</v>
      </c>
      <c r="F13">
        <f>SUM($D$13*(($E$13/100)+1))</f>
        <v>801440414.86079991</v>
      </c>
      <c r="G13">
        <v>168795369.60000002</v>
      </c>
      <c r="H13">
        <v>437.28</v>
      </c>
      <c r="I13">
        <f>SUM($G$13*(($H$13/100)+1))</f>
        <v>906903761.78688014</v>
      </c>
      <c r="J13">
        <v>185674906.56000003</v>
      </c>
      <c r="K13">
        <v>452.28</v>
      </c>
      <c r="L13">
        <f t="shared" si="0"/>
        <v>1025445373.9495682</v>
      </c>
    </row>
    <row r="14" spans="1:12">
      <c r="B14" t="s">
        <v>125</v>
      </c>
      <c r="C14" t="s">
        <v>126</v>
      </c>
      <c r="D14">
        <v>172068084</v>
      </c>
      <c r="E14">
        <v>367.05</v>
      </c>
      <c r="F14">
        <f>SUM($D$14*(($E$14/100)+1))</f>
        <v>803643986.32200015</v>
      </c>
      <c r="G14">
        <v>189274892.40000001</v>
      </c>
      <c r="H14">
        <v>382.05</v>
      </c>
      <c r="I14">
        <f>SUM($G$14*(($H$14/100)+1))</f>
        <v>912399618.81420004</v>
      </c>
      <c r="J14">
        <v>208202381.64000002</v>
      </c>
      <c r="K14">
        <v>397.05</v>
      </c>
      <c r="L14">
        <f t="shared" si="0"/>
        <v>1034869937.94162</v>
      </c>
    </row>
    <row r="15" spans="1:12">
      <c r="B15" t="s">
        <v>134</v>
      </c>
      <c r="C15" t="s">
        <v>135</v>
      </c>
      <c r="D15">
        <v>178489769</v>
      </c>
      <c r="E15">
        <v>335.56</v>
      </c>
      <c r="F15">
        <f>SUM($D$15*(($E$15/100)+1))</f>
        <v>777430037.85640001</v>
      </c>
      <c r="G15">
        <v>196338745.90000001</v>
      </c>
      <c r="H15">
        <v>350.56</v>
      </c>
      <c r="I15">
        <f>SUM($G$15*(($H$15/100)+1))</f>
        <v>884623853.52703989</v>
      </c>
      <c r="J15">
        <v>215972620.49000001</v>
      </c>
      <c r="K15">
        <v>365.56</v>
      </c>
      <c r="L15">
        <f t="shared" si="0"/>
        <v>1005482131.953244</v>
      </c>
    </row>
    <row r="16" spans="1:12">
      <c r="B16" s="3" t="s">
        <v>90</v>
      </c>
      <c r="C16" t="s">
        <v>88</v>
      </c>
      <c r="D16">
        <v>137664626</v>
      </c>
      <c r="E16">
        <v>434.45</v>
      </c>
      <c r="F16">
        <f>SUM($D$16*(($E$16/100)+1))</f>
        <v>735748593.65699995</v>
      </c>
      <c r="G16">
        <v>151431088.60000002</v>
      </c>
      <c r="H16">
        <v>449.45</v>
      </c>
      <c r="I16">
        <f>SUM($G$16*(($H$16/100)+1))</f>
        <v>832038116.31270003</v>
      </c>
      <c r="J16">
        <v>166574197.46000004</v>
      </c>
      <c r="K16">
        <v>464.45</v>
      </c>
      <c r="L16">
        <f t="shared" si="0"/>
        <v>940228057.56297016</v>
      </c>
    </row>
    <row r="17" spans="2:12">
      <c r="B17" s="2" t="s">
        <v>95</v>
      </c>
      <c r="C17" t="s">
        <v>94</v>
      </c>
      <c r="D17">
        <v>144648009</v>
      </c>
      <c r="E17">
        <v>412.1</v>
      </c>
      <c r="F17">
        <f>SUM($D$17*(($E$17/100)+1))</f>
        <v>740742454.08900011</v>
      </c>
      <c r="G17">
        <v>159112809.90000001</v>
      </c>
      <c r="H17">
        <v>427.1</v>
      </c>
      <c r="I17">
        <f>SUM($G$17*(($H$17/100)+1))</f>
        <v>838683620.98290002</v>
      </c>
      <c r="J17">
        <v>175024090.89000002</v>
      </c>
      <c r="K17">
        <v>442.1</v>
      </c>
      <c r="L17">
        <f t="shared" si="0"/>
        <v>948805596.71469009</v>
      </c>
    </row>
    <row r="18" spans="2:12">
      <c r="B18" t="s">
        <v>6</v>
      </c>
      <c r="C18" t="s">
        <v>4</v>
      </c>
      <c r="D18">
        <v>150860945</v>
      </c>
      <c r="E18">
        <v>350.75</v>
      </c>
      <c r="F18">
        <f>SUM($D$18*(($E$18/100)+1))</f>
        <v>680005709.5875001</v>
      </c>
      <c r="G18">
        <v>165947039.5</v>
      </c>
      <c r="H18">
        <v>365.75</v>
      </c>
      <c r="I18">
        <f>SUM($G$18*(($H$18/100)+1))</f>
        <v>772898336.47125006</v>
      </c>
      <c r="J18">
        <v>182541743.45000002</v>
      </c>
      <c r="K18">
        <v>380.75</v>
      </c>
      <c r="L18">
        <f t="shared" si="0"/>
        <v>877569431.63587511</v>
      </c>
    </row>
    <row r="19" spans="2:12">
      <c r="B19" s="2" t="s">
        <v>40</v>
      </c>
      <c r="C19" t="s">
        <v>39</v>
      </c>
      <c r="D19">
        <v>162941821</v>
      </c>
      <c r="E19">
        <v>309.02999999999997</v>
      </c>
      <c r="F19">
        <f>SUM($D$19*(($E$19/100)+1))</f>
        <v>666480930.43629992</v>
      </c>
      <c r="G19">
        <v>179236003.10000002</v>
      </c>
      <c r="H19">
        <v>324.02999999999997</v>
      </c>
      <c r="I19">
        <f>SUM($G$19*(($H$19/100)+1))</f>
        <v>760014423.94492996</v>
      </c>
      <c r="J19">
        <v>197159603.41000006</v>
      </c>
      <c r="K19">
        <v>339.03</v>
      </c>
      <c r="L19">
        <f t="shared" si="0"/>
        <v>865589806.85092318</v>
      </c>
    </row>
    <row r="20" spans="2:12">
      <c r="B20" t="s">
        <v>131</v>
      </c>
      <c r="C20" t="s">
        <v>132</v>
      </c>
      <c r="D20">
        <v>149001966</v>
      </c>
      <c r="E20">
        <v>345.38</v>
      </c>
      <c r="F20">
        <f>SUM($D$20*(($E$20/100)+1))</f>
        <v>663624956.17079985</v>
      </c>
      <c r="G20">
        <v>163902162.60000002</v>
      </c>
      <c r="H20">
        <v>360.38</v>
      </c>
      <c r="I20">
        <f>SUM($G$20*(($H$20/100)+1))</f>
        <v>754572776.17788005</v>
      </c>
      <c r="J20">
        <v>180292378.86000004</v>
      </c>
      <c r="K20">
        <v>375.38</v>
      </c>
      <c r="L20">
        <f t="shared" si="0"/>
        <v>857073910.62466824</v>
      </c>
    </row>
    <row r="21" spans="2:12">
      <c r="B21" t="s">
        <v>97</v>
      </c>
      <c r="C21" t="s">
        <v>98</v>
      </c>
      <c r="D21">
        <v>157727650</v>
      </c>
      <c r="E21">
        <v>275.92</v>
      </c>
      <c r="F21">
        <f>SUM($D$21*(($E$21/100)+1))</f>
        <v>592929781.88</v>
      </c>
      <c r="G21">
        <v>173500415</v>
      </c>
      <c r="H21">
        <v>290.92</v>
      </c>
      <c r="I21">
        <f>SUM($G$21*(($H$21/100)+1))</f>
        <v>678247822.31800008</v>
      </c>
      <c r="J21">
        <v>190850456.50000003</v>
      </c>
      <c r="K21">
        <v>305.92</v>
      </c>
      <c r="L21">
        <f t="shared" si="0"/>
        <v>774700173.02480018</v>
      </c>
    </row>
    <row r="22" spans="2:12">
      <c r="B22" s="2" t="s">
        <v>29</v>
      </c>
      <c r="C22" t="s">
        <v>27</v>
      </c>
      <c r="D22">
        <v>157234429</v>
      </c>
      <c r="E22">
        <v>260.38</v>
      </c>
      <c r="F22">
        <f>SUM($D$22*(($E$22/100)+1))</f>
        <v>566641435.23020005</v>
      </c>
      <c r="G22">
        <v>172957871.90000001</v>
      </c>
      <c r="H22">
        <v>275.38</v>
      </c>
      <c r="I22">
        <f>SUM($G$22*(($H$22/100)+1))</f>
        <v>649249259.53822005</v>
      </c>
      <c r="J22">
        <v>190253659.09000003</v>
      </c>
      <c r="K22">
        <v>290.38</v>
      </c>
      <c r="L22">
        <f t="shared" si="0"/>
        <v>742712234.35554206</v>
      </c>
    </row>
    <row r="23" spans="2:12">
      <c r="B23" t="s">
        <v>154</v>
      </c>
      <c r="C23" t="s">
        <v>155</v>
      </c>
      <c r="D23">
        <v>141202446</v>
      </c>
      <c r="E23">
        <v>290.72000000000003</v>
      </c>
      <c r="F23">
        <f>SUM($D$23*(($E$23/100)+1))</f>
        <v>551706197.01120007</v>
      </c>
      <c r="G23">
        <v>155322690.60000002</v>
      </c>
      <c r="H23">
        <v>305.72000000000003</v>
      </c>
      <c r="I23">
        <f>SUM($G$23*(($H$23/100)+1))</f>
        <v>630175220.30232012</v>
      </c>
      <c r="J23">
        <v>170854959.66000003</v>
      </c>
      <c r="K23">
        <v>320.72000000000003</v>
      </c>
      <c r="L23">
        <f t="shared" si="0"/>
        <v>718820986.2815522</v>
      </c>
    </row>
    <row r="24" spans="2:12">
      <c r="B24" s="2" t="s">
        <v>28</v>
      </c>
      <c r="C24" t="s">
        <v>26</v>
      </c>
      <c r="D24">
        <v>126434016</v>
      </c>
      <c r="E24">
        <v>287.93</v>
      </c>
      <c r="F24">
        <f>SUM($D$24*(($E$24/100)+1))</f>
        <v>490475478.26880002</v>
      </c>
      <c r="G24">
        <v>139077417.60000002</v>
      </c>
      <c r="H24">
        <v>302.93</v>
      </c>
      <c r="I24">
        <f>SUM($G$24*(($H$24/100)+1))</f>
        <v>560384638.7356801</v>
      </c>
      <c r="J24">
        <v>152985159.36000004</v>
      </c>
      <c r="K24">
        <v>317.93</v>
      </c>
      <c r="L24">
        <f t="shared" si="0"/>
        <v>639370876.51324809</v>
      </c>
    </row>
    <row r="25" spans="2:12">
      <c r="B25" s="2" t="s">
        <v>93</v>
      </c>
      <c r="C25" t="s">
        <v>91</v>
      </c>
      <c r="D25">
        <v>114871846</v>
      </c>
      <c r="E25">
        <v>313.32</v>
      </c>
      <c r="F25">
        <f>SUM($D$25*(($E$25/100)+1))</f>
        <v>474788313.88720006</v>
      </c>
      <c r="G25">
        <v>126359030.60000001</v>
      </c>
      <c r="H25">
        <v>328.32</v>
      </c>
      <c r="I25">
        <f>SUM($G$25*(($H$25/100)+1))</f>
        <v>541220999.86592007</v>
      </c>
      <c r="J25">
        <v>138994933.66000003</v>
      </c>
      <c r="K25">
        <v>343.32</v>
      </c>
      <c r="L25">
        <f t="shared" si="0"/>
        <v>616192339.90151203</v>
      </c>
    </row>
    <row r="26" spans="2:12">
      <c r="B26" t="s">
        <v>107</v>
      </c>
      <c r="C26" t="s">
        <v>108</v>
      </c>
      <c r="D26">
        <v>119280906</v>
      </c>
      <c r="E26">
        <v>280.45</v>
      </c>
      <c r="F26">
        <f>SUM($D$26*(($E$26/100)+1))</f>
        <v>453804206.87699997</v>
      </c>
      <c r="G26">
        <v>131208996.60000001</v>
      </c>
      <c r="H26">
        <v>295.45</v>
      </c>
      <c r="I26">
        <f>SUM($G$26*(($H$26/100)+1))</f>
        <v>518865977.05470002</v>
      </c>
      <c r="J26">
        <v>144329896.26000002</v>
      </c>
      <c r="K26">
        <v>310.45</v>
      </c>
      <c r="L26">
        <f t="shared" si="0"/>
        <v>592402059.19917011</v>
      </c>
    </row>
    <row r="27" spans="2:12">
      <c r="B27" t="s">
        <v>144</v>
      </c>
      <c r="C27" t="s">
        <v>150</v>
      </c>
      <c r="D27">
        <v>97737666</v>
      </c>
      <c r="E27">
        <v>328.57</v>
      </c>
      <c r="F27">
        <f>SUM($D$27*(($E$27/100)+1))</f>
        <v>418874315.17620003</v>
      </c>
      <c r="G27">
        <v>107511432.60000001</v>
      </c>
      <c r="H27">
        <v>343.57</v>
      </c>
      <c r="I27">
        <f>SUM($G$27*(($H$27/100)+1))</f>
        <v>476888461.58381999</v>
      </c>
      <c r="J27">
        <v>118262575.86000001</v>
      </c>
      <c r="K27">
        <v>358.57</v>
      </c>
      <c r="L27">
        <f t="shared" si="0"/>
        <v>542316694.12120211</v>
      </c>
    </row>
    <row r="28" spans="2:12">
      <c r="B28" t="s">
        <v>110</v>
      </c>
      <c r="C28" t="s">
        <v>111</v>
      </c>
      <c r="D28">
        <v>94838906</v>
      </c>
      <c r="E28">
        <v>275.57</v>
      </c>
      <c r="F28">
        <f>SUM($D$28*(($E$28/100)+1))</f>
        <v>356186479.26420003</v>
      </c>
      <c r="G28">
        <v>104322796.60000001</v>
      </c>
      <c r="H28">
        <v>290.57</v>
      </c>
      <c r="I28">
        <f>SUM($G$28*(($H$28/100)+1))</f>
        <v>407453546.68062001</v>
      </c>
      <c r="J28">
        <v>114755076.26000002</v>
      </c>
      <c r="K28">
        <v>305.57</v>
      </c>
      <c r="L28">
        <f t="shared" si="0"/>
        <v>465412162.78768206</v>
      </c>
    </row>
    <row r="29" spans="2:12">
      <c r="B29" s="2" t="s">
        <v>14</v>
      </c>
      <c r="C29" t="s">
        <v>12</v>
      </c>
      <c r="D29">
        <v>94358075</v>
      </c>
      <c r="E29">
        <v>181.21</v>
      </c>
      <c r="F29">
        <f>SUM($D$29*(($E$29/100)+1))</f>
        <v>265344342.70750001</v>
      </c>
      <c r="G29">
        <v>103793882.50000001</v>
      </c>
      <c r="H29">
        <v>196.21</v>
      </c>
      <c r="I29">
        <f>SUM($G$29*(($H$29/100)+1))</f>
        <v>307447859.35325009</v>
      </c>
      <c r="J29">
        <v>114173270.75000003</v>
      </c>
      <c r="K29">
        <v>211.21</v>
      </c>
      <c r="L29">
        <f t="shared" si="0"/>
        <v>355318635.90107507</v>
      </c>
    </row>
    <row r="30" spans="2:12">
      <c r="B30" t="s">
        <v>138</v>
      </c>
      <c r="C30" t="s">
        <v>139</v>
      </c>
      <c r="D30">
        <v>82423174</v>
      </c>
      <c r="E30">
        <v>273.14999999999998</v>
      </c>
      <c r="F30">
        <f>SUM($D$30*(($E$30/100)+1))</f>
        <v>307562073.78099996</v>
      </c>
      <c r="G30">
        <v>90665491.400000006</v>
      </c>
      <c r="H30">
        <v>288.14999999999998</v>
      </c>
      <c r="I30">
        <f>SUM($G$30*(($H$30/100)+1))</f>
        <v>351918104.86910003</v>
      </c>
      <c r="J30">
        <v>99732040.540000021</v>
      </c>
      <c r="K30">
        <v>303.14999999999998</v>
      </c>
      <c r="L30">
        <f t="shared" si="0"/>
        <v>402069721.43701005</v>
      </c>
    </row>
    <row r="31" spans="2:12">
      <c r="B31" t="s">
        <v>113</v>
      </c>
      <c r="C31" t="s">
        <v>114</v>
      </c>
      <c r="D31">
        <v>95657096</v>
      </c>
      <c r="E31">
        <v>223.66</v>
      </c>
      <c r="F31">
        <f>SUM($D$31*(($E$31/100)+1))</f>
        <v>309603756.91360003</v>
      </c>
      <c r="G31">
        <v>105222805.60000001</v>
      </c>
      <c r="H31">
        <v>238.66</v>
      </c>
      <c r="I31">
        <f>SUM($G$31*(($H$31/100)+1))</f>
        <v>356347553.44496006</v>
      </c>
      <c r="J31">
        <v>115745086.16000003</v>
      </c>
      <c r="K31">
        <v>253.66</v>
      </c>
      <c r="L31">
        <f t="shared" si="0"/>
        <v>409344071.71345609</v>
      </c>
    </row>
    <row r="32" spans="2:12">
      <c r="B32" t="s">
        <v>100</v>
      </c>
      <c r="C32" t="s">
        <v>101</v>
      </c>
      <c r="D32">
        <v>101008370</v>
      </c>
      <c r="E32">
        <v>191.54</v>
      </c>
      <c r="F32">
        <f>SUM($D$32*(($E$32/100)+1))</f>
        <v>294479801.898</v>
      </c>
      <c r="G32">
        <v>111109207.00000001</v>
      </c>
      <c r="H32">
        <v>206.54</v>
      </c>
      <c r="I32">
        <f>SUM($G$32*(($H$32/100)+1))</f>
        <v>340594163.13780004</v>
      </c>
      <c r="J32">
        <v>122220127.70000003</v>
      </c>
      <c r="K32">
        <v>221.54</v>
      </c>
      <c r="L32">
        <f t="shared" si="0"/>
        <v>392986598.60658008</v>
      </c>
    </row>
    <row r="33" spans="2:12">
      <c r="B33" s="2" t="s">
        <v>23</v>
      </c>
      <c r="C33" t="s">
        <v>18</v>
      </c>
      <c r="D33">
        <v>76496380</v>
      </c>
      <c r="E33">
        <v>201.56</v>
      </c>
      <c r="F33">
        <f>SUM($D$33*(($E$33/100)+1))</f>
        <v>230682483.528</v>
      </c>
      <c r="G33">
        <v>84146018</v>
      </c>
      <c r="H33">
        <v>216.56</v>
      </c>
      <c r="I33">
        <f>SUM($G$33*(($H$33/100)+1))</f>
        <v>266372634.5808</v>
      </c>
      <c r="J33">
        <v>92560619.800000012</v>
      </c>
      <c r="K33">
        <v>231.56</v>
      </c>
      <c r="L33">
        <f t="shared" si="0"/>
        <v>306893991.00888002</v>
      </c>
    </row>
    <row r="34" spans="2:12">
      <c r="B34" t="s">
        <v>116</v>
      </c>
      <c r="C34" t="s">
        <v>117</v>
      </c>
      <c r="D34">
        <v>64480061</v>
      </c>
      <c r="E34">
        <v>200.44</v>
      </c>
      <c r="F34">
        <f>SUM($D$34*(($E$34/100)+1))</f>
        <v>193723895.26839998</v>
      </c>
      <c r="G34">
        <v>70928067.100000009</v>
      </c>
      <c r="H34">
        <v>215.44</v>
      </c>
      <c r="I34">
        <f>SUM($G$34*(($H$34/100)+1))</f>
        <v>223735494.86024001</v>
      </c>
      <c r="J34">
        <v>78020873.810000017</v>
      </c>
      <c r="K34">
        <v>230.44</v>
      </c>
      <c r="L34">
        <f t="shared" si="0"/>
        <v>257812175.41776404</v>
      </c>
    </row>
    <row r="35" spans="2:12">
      <c r="B35" s="2" t="s">
        <v>37</v>
      </c>
      <c r="C35" t="s">
        <v>38</v>
      </c>
      <c r="D35">
        <v>79615680</v>
      </c>
      <c r="E35">
        <v>141.88</v>
      </c>
      <c r="F35">
        <f>SUM($D$35*(($E$35/100)+1))</f>
        <v>192574406.78400001</v>
      </c>
      <c r="G35">
        <v>87577248</v>
      </c>
      <c r="H35">
        <v>156.88</v>
      </c>
      <c r="I35">
        <f>SUM($G$35*(($H$35/100)+1))</f>
        <v>224968434.66240001</v>
      </c>
      <c r="J35">
        <v>96334972.800000012</v>
      </c>
      <c r="K35">
        <v>171.88</v>
      </c>
      <c r="L35">
        <f t="shared" si="0"/>
        <v>261915524.04864001</v>
      </c>
    </row>
    <row r="36" spans="2:12">
      <c r="B36" s="2" t="s">
        <v>64</v>
      </c>
      <c r="C36" t="s">
        <v>63</v>
      </c>
      <c r="D36">
        <v>81891051</v>
      </c>
      <c r="E36">
        <v>122.22</v>
      </c>
      <c r="F36">
        <f>SUM($D$36*(($E$36/100)+1))</f>
        <v>181978293.53220001</v>
      </c>
      <c r="G36">
        <v>90080156.100000009</v>
      </c>
      <c r="H36">
        <v>137.22</v>
      </c>
      <c r="I36">
        <f>SUM($G$36*(($H$36/100)+1))</f>
        <v>213688146.30042005</v>
      </c>
      <c r="J36">
        <v>99088171.710000023</v>
      </c>
      <c r="K36">
        <v>152.22</v>
      </c>
      <c r="L36">
        <f t="shared" si="0"/>
        <v>249920186.68696204</v>
      </c>
    </row>
    <row r="37" spans="2:12">
      <c r="B37" t="s">
        <v>147</v>
      </c>
      <c r="C37" t="s">
        <v>148</v>
      </c>
      <c r="D37">
        <v>68506270</v>
      </c>
      <c r="E37">
        <v>126.51</v>
      </c>
      <c r="F37">
        <f>SUM($D$37*(($E$37/100)+1))</f>
        <v>155173552.17700002</v>
      </c>
      <c r="G37">
        <v>75356897</v>
      </c>
      <c r="H37">
        <v>141.51</v>
      </c>
      <c r="I37">
        <f>SUM($G$37*(($H$37/100)+1))</f>
        <v>181994441.94469997</v>
      </c>
      <c r="J37">
        <v>82892586.700000003</v>
      </c>
      <c r="K37">
        <v>156.51</v>
      </c>
      <c r="L37">
        <f t="shared" si="0"/>
        <v>212627774.14417002</v>
      </c>
    </row>
    <row r="38" spans="2:12">
      <c r="B38" s="2" t="s">
        <v>15</v>
      </c>
      <c r="C38" t="s">
        <v>11</v>
      </c>
      <c r="D38">
        <v>65710930</v>
      </c>
      <c r="E38">
        <v>134.85</v>
      </c>
      <c r="F38">
        <f>SUM($D$38*(($E$38/100)+1))</f>
        <v>154322119.10499999</v>
      </c>
      <c r="G38">
        <v>72282023</v>
      </c>
      <c r="H38">
        <v>149.85</v>
      </c>
      <c r="I38">
        <f>SUM($G$38*(($H$38/100)+1))</f>
        <v>180596634.4655</v>
      </c>
      <c r="J38">
        <v>79510225.300000012</v>
      </c>
      <c r="K38">
        <v>164.85</v>
      </c>
      <c r="L38">
        <f t="shared" si="0"/>
        <v>210582831.70705003</v>
      </c>
    </row>
    <row r="39" spans="2:12">
      <c r="B39" t="s">
        <v>58</v>
      </c>
      <c r="C39" s="2" t="s">
        <v>57</v>
      </c>
      <c r="D39">
        <v>57688305</v>
      </c>
      <c r="E39">
        <v>136.97</v>
      </c>
      <c r="F39">
        <f>SUM($D$39*(($E$39/100)+1))</f>
        <v>136703976.3585</v>
      </c>
      <c r="G39">
        <v>63457135.500000007</v>
      </c>
      <c r="H39">
        <v>151.97</v>
      </c>
      <c r="I39">
        <f>SUM($G$39*(($H$39/100)+1))</f>
        <v>159892944.31935003</v>
      </c>
      <c r="J39">
        <v>69802849.050000012</v>
      </c>
      <c r="K39">
        <v>166.97</v>
      </c>
      <c r="L39">
        <f t="shared" si="0"/>
        <v>186352666.108785</v>
      </c>
    </row>
    <row r="40" spans="2:12">
      <c r="B40" s="2" t="s">
        <v>41</v>
      </c>
      <c r="C40" s="2" t="s">
        <v>42</v>
      </c>
      <c r="D40">
        <v>56830886</v>
      </c>
      <c r="E40">
        <v>118.53</v>
      </c>
      <c r="F40">
        <f>SUM($D$40*(($E$40/100)+1))</f>
        <v>124192535.1758</v>
      </c>
      <c r="G40">
        <v>62513974.600000001</v>
      </c>
      <c r="H40">
        <v>133.53</v>
      </c>
      <c r="I40">
        <f>SUM($G$40*(($H$40/100)+1))</f>
        <v>145988884.88338003</v>
      </c>
      <c r="J40">
        <v>68765372.060000002</v>
      </c>
      <c r="K40">
        <v>148.53</v>
      </c>
      <c r="L40">
        <f t="shared" si="0"/>
        <v>170902579.180718</v>
      </c>
    </row>
    <row r="41" spans="2:12">
      <c r="B41" s="2" t="s">
        <v>52</v>
      </c>
      <c r="C41" s="2" t="s">
        <v>51</v>
      </c>
      <c r="D41">
        <v>47698676</v>
      </c>
      <c r="E41">
        <v>151.37</v>
      </c>
      <c r="F41">
        <f>SUM($D$41*(($E$41/100)+1))</f>
        <v>119900161.8612</v>
      </c>
      <c r="G41">
        <v>52468543.600000001</v>
      </c>
      <c r="H41">
        <v>166.37</v>
      </c>
      <c r="I41">
        <f>SUM($G$41*(($H$41/100)+1))</f>
        <v>139760459.58732</v>
      </c>
      <c r="J41">
        <v>57715397.960000008</v>
      </c>
      <c r="K41">
        <v>181.37</v>
      </c>
      <c r="L41">
        <f t="shared" si="0"/>
        <v>162393815.24005201</v>
      </c>
    </row>
    <row r="42" spans="2:12">
      <c r="B42" s="2" t="s">
        <v>16</v>
      </c>
      <c r="C42" t="s">
        <v>13</v>
      </c>
      <c r="D42">
        <v>45791945</v>
      </c>
      <c r="E42">
        <v>130.74</v>
      </c>
      <c r="F42">
        <f>SUM($D$42*(($E$42/100)+1))</f>
        <v>105660333.89300002</v>
      </c>
      <c r="G42">
        <v>50371139.500000007</v>
      </c>
      <c r="H42">
        <v>145.74</v>
      </c>
      <c r="I42">
        <f>SUM($G$42*(($H$42/100)+1))</f>
        <v>123782038.20730001</v>
      </c>
      <c r="J42">
        <v>55408253.45000001</v>
      </c>
      <c r="K42">
        <v>160.74</v>
      </c>
      <c r="L42">
        <f t="shared" si="0"/>
        <v>144471480.04553005</v>
      </c>
    </row>
    <row r="43" spans="2:12">
      <c r="B43" t="s">
        <v>119</v>
      </c>
      <c r="C43" t="s">
        <v>120</v>
      </c>
      <c r="D43">
        <v>49565241</v>
      </c>
      <c r="E43">
        <v>99.28</v>
      </c>
      <c r="F43">
        <f>SUM($D$43*(($E$43/100)+1))</f>
        <v>98773612.264799997</v>
      </c>
      <c r="G43">
        <v>54521765.100000001</v>
      </c>
      <c r="H43">
        <v>114.28</v>
      </c>
      <c r="I43">
        <f>SUM($G$43*(($H$43/100)+1))</f>
        <v>116829238.25628002</v>
      </c>
      <c r="J43">
        <v>59973941.610000007</v>
      </c>
      <c r="K43">
        <v>129.28</v>
      </c>
      <c r="L43">
        <f t="shared" si="0"/>
        <v>137508253.32340801</v>
      </c>
    </row>
    <row r="44" spans="2:12">
      <c r="B44" s="2" t="s">
        <v>21</v>
      </c>
      <c r="C44" t="s">
        <v>19</v>
      </c>
      <c r="D44">
        <v>43003466</v>
      </c>
      <c r="E44">
        <v>100.52</v>
      </c>
      <c r="F44">
        <f>SUM($D$44*(($E$44/100)+1))</f>
        <v>86230550.02319999</v>
      </c>
      <c r="G44">
        <v>47303812.600000001</v>
      </c>
      <c r="H44">
        <v>115.52</v>
      </c>
      <c r="I44">
        <f>SUM($G$44*(($H$44/100)+1))</f>
        <v>101949176.91552</v>
      </c>
      <c r="J44">
        <v>52034193.860000007</v>
      </c>
      <c r="K44">
        <v>130.51999999999998</v>
      </c>
      <c r="L44">
        <f t="shared" si="0"/>
        <v>119949223.68607202</v>
      </c>
    </row>
    <row r="45" spans="2:12">
      <c r="B45" s="2" t="s">
        <v>30</v>
      </c>
      <c r="C45" t="s">
        <v>25</v>
      </c>
      <c r="D45">
        <v>30827781</v>
      </c>
      <c r="E45">
        <v>105.18</v>
      </c>
      <c r="F45">
        <f>SUM($D$45*(($E$45/100)+1))</f>
        <v>63252441.055800006</v>
      </c>
      <c r="G45">
        <v>33910559.100000001</v>
      </c>
      <c r="H45">
        <v>120.18</v>
      </c>
      <c r="I45">
        <f>SUM($G$45*(($H$45/100)+1))</f>
        <v>74664269.026380002</v>
      </c>
      <c r="J45">
        <v>37301615.010000005</v>
      </c>
      <c r="K45">
        <v>135.18</v>
      </c>
      <c r="L45">
        <f t="shared" si="0"/>
        <v>87725938.180518001</v>
      </c>
    </row>
    <row r="46" spans="2:12">
      <c r="B46" s="2" t="s">
        <v>22</v>
      </c>
      <c r="C46" t="s">
        <v>17</v>
      </c>
      <c r="D46">
        <v>28150138</v>
      </c>
      <c r="E46">
        <v>102.56</v>
      </c>
      <c r="F46">
        <f>SUM($D$46*(($E$46/100)+1))</f>
        <v>57020919.532799996</v>
      </c>
      <c r="G46">
        <v>30965151.800000001</v>
      </c>
      <c r="H46">
        <v>117.56</v>
      </c>
      <c r="I46">
        <f>SUM($G$46*(($H$46/100)+1))</f>
        <v>67367784.256080002</v>
      </c>
      <c r="J46">
        <v>34061666.980000004</v>
      </c>
      <c r="K46">
        <v>132.56</v>
      </c>
      <c r="L46">
        <f t="shared" si="0"/>
        <v>79213812.728688017</v>
      </c>
    </row>
    <row r="47" spans="2:12">
      <c r="B47" s="2" t="s">
        <v>54</v>
      </c>
      <c r="C47" t="s">
        <v>53</v>
      </c>
      <c r="D47">
        <v>28123061</v>
      </c>
      <c r="E47">
        <v>104.14</v>
      </c>
      <c r="F47">
        <f>SUM($D$47*(($E$47/100)+1))</f>
        <v>57410416.725400008</v>
      </c>
      <c r="G47">
        <v>30935367.100000001</v>
      </c>
      <c r="H47">
        <v>119.14</v>
      </c>
      <c r="I47">
        <f>SUM($G$47*(($H$47/100)+1))</f>
        <v>67791763.462939993</v>
      </c>
      <c r="J47">
        <v>34028903.810000002</v>
      </c>
      <c r="K47">
        <v>134.13999999999999</v>
      </c>
      <c r="L47">
        <f t="shared" si="0"/>
        <v>79675275.380734012</v>
      </c>
    </row>
    <row r="48" spans="2:12">
      <c r="B48" s="2" t="s">
        <v>36</v>
      </c>
      <c r="C48" t="s">
        <v>35</v>
      </c>
      <c r="D48">
        <v>23734190</v>
      </c>
      <c r="E48">
        <v>61.72</v>
      </c>
      <c r="F48">
        <f>SUM($D$48*(($E$48/100)+1))</f>
        <v>38382932.067999996</v>
      </c>
      <c r="G48">
        <v>26107609.000000004</v>
      </c>
      <c r="H48">
        <v>76.72</v>
      </c>
      <c r="I48">
        <f>SUM($G$48*(($H$48/100)+1))</f>
        <v>46137366.624800004</v>
      </c>
      <c r="J48">
        <v>28718369.900000006</v>
      </c>
      <c r="K48">
        <v>91.72</v>
      </c>
      <c r="L48">
        <f t="shared" si="0"/>
        <v>55058858.772280015</v>
      </c>
    </row>
    <row r="49" spans="2:12">
      <c r="B49" s="2" t="s">
        <v>34</v>
      </c>
      <c r="C49" t="s">
        <v>33</v>
      </c>
      <c r="D49">
        <v>19632252</v>
      </c>
      <c r="E49">
        <v>43.16</v>
      </c>
      <c r="F49">
        <f>SUM($D$49*(($E$49/100)+1))</f>
        <v>28105531.963199999</v>
      </c>
      <c r="G49">
        <v>21595477.200000003</v>
      </c>
      <c r="H49">
        <v>58.16</v>
      </c>
      <c r="I49">
        <f>SUM($G$49*(($H$49/100)+1))</f>
        <v>34155406.739520006</v>
      </c>
      <c r="J49">
        <v>23755024.920000006</v>
      </c>
      <c r="K49">
        <v>73.16</v>
      </c>
      <c r="L49">
        <f t="shared" si="0"/>
        <v>41134201.151472002</v>
      </c>
    </row>
    <row r="50" spans="2:12">
      <c r="B50" s="3" t="s">
        <v>56</v>
      </c>
      <c r="C50" t="s">
        <v>55</v>
      </c>
      <c r="D50">
        <v>18010345</v>
      </c>
      <c r="E50">
        <v>52.65</v>
      </c>
      <c r="F50">
        <f>SUM($D$50*(($E$50/100)+1))</f>
        <v>27492791.642499998</v>
      </c>
      <c r="G50">
        <v>19811379.5</v>
      </c>
      <c r="H50">
        <v>67.650000000000006</v>
      </c>
      <c r="I50">
        <f>SUM($G$50*(($H$50/100)+1))</f>
        <v>33213777.73175</v>
      </c>
      <c r="J50">
        <v>21792517.450000003</v>
      </c>
      <c r="K50">
        <v>82.65</v>
      </c>
      <c r="L50">
        <f t="shared" si="0"/>
        <v>39804033.122425005</v>
      </c>
    </row>
    <row r="51" spans="2:12">
      <c r="B51" t="s">
        <v>128</v>
      </c>
      <c r="C51" t="s">
        <v>129</v>
      </c>
      <c r="D51">
        <v>16530145</v>
      </c>
      <c r="E51">
        <v>29.24</v>
      </c>
      <c r="F51">
        <f>SUM($D$51*(($E$51/100)+1))</f>
        <v>21363559.397999998</v>
      </c>
      <c r="G51">
        <v>18183159.5</v>
      </c>
      <c r="H51">
        <v>44.239999999999995</v>
      </c>
      <c r="I51">
        <f>SUM($G$51*(($H$51/100)+1))</f>
        <v>26227389.262799997</v>
      </c>
      <c r="J51">
        <v>20001475.450000003</v>
      </c>
      <c r="K51">
        <v>59.239999999999995</v>
      </c>
      <c r="L51">
        <f t="shared" si="0"/>
        <v>31850349.506580006</v>
      </c>
    </row>
    <row r="52" spans="2:12">
      <c r="B52" t="s">
        <v>151</v>
      </c>
      <c r="C52" t="s">
        <v>145</v>
      </c>
      <c r="D52">
        <v>17987575</v>
      </c>
      <c r="E52">
        <v>39.18</v>
      </c>
      <c r="F52">
        <f>SUM($D$52*(($E$52/100)+1))</f>
        <v>25035106.884999998</v>
      </c>
      <c r="G52">
        <v>19786332.5</v>
      </c>
      <c r="H52">
        <v>54.18</v>
      </c>
      <c r="I52">
        <f>SUM($G$52*(($H$52/100)+1))</f>
        <v>30506567.448499996</v>
      </c>
      <c r="J52">
        <v>21764965.75</v>
      </c>
      <c r="K52">
        <v>69.180000000000007</v>
      </c>
      <c r="L52">
        <f t="shared" si="0"/>
        <v>36821969.055850007</v>
      </c>
    </row>
    <row r="53" spans="2:12">
      <c r="B53" s="2" t="s">
        <v>62</v>
      </c>
      <c r="C53" t="s">
        <v>61</v>
      </c>
      <c r="D53">
        <v>9221571</v>
      </c>
      <c r="E53">
        <v>29.83</v>
      </c>
      <c r="F53">
        <f>SUM($D$53*(($E$53/100)+1))</f>
        <v>11972365.6293</v>
      </c>
      <c r="G53">
        <v>10143728.100000001</v>
      </c>
      <c r="H53">
        <v>44.83</v>
      </c>
      <c r="I53">
        <f>SUM($G$53*(($H$53/100)+1))</f>
        <v>14691161.407230001</v>
      </c>
      <c r="J53">
        <v>11158100.910000002</v>
      </c>
      <c r="K53">
        <v>59.83</v>
      </c>
      <c r="L53">
        <f t="shared" si="0"/>
        <v>17833992.684453003</v>
      </c>
    </row>
    <row r="54" spans="2:12">
      <c r="B54" t="s">
        <v>103</v>
      </c>
      <c r="C54" t="s">
        <v>104</v>
      </c>
      <c r="D54">
        <v>1303390</v>
      </c>
      <c r="E54">
        <v>1.73</v>
      </c>
      <c r="F54">
        <f>SUM($D$54*(($E$54/100)+1))</f>
        <v>1325938.6470000001</v>
      </c>
      <c r="G54">
        <v>1433729</v>
      </c>
      <c r="H54">
        <v>16.73</v>
      </c>
      <c r="I54">
        <f>SUM($G$54*(($H$54/100)+1))</f>
        <v>1673591.8617</v>
      </c>
      <c r="J54">
        <v>1577101.9000000001</v>
      </c>
      <c r="K54">
        <v>31.73</v>
      </c>
      <c r="L54">
        <f t="shared" si="0"/>
        <v>2077516.33287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2024-09-04T17:25:58Z</dcterms:modified>
</cp:coreProperties>
</file>