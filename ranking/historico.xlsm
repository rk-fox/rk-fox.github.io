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1B64E8CD-53A0-47BE-9189-3A245CABE3BF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6" l="1"/>
  <c r="D5" i="6"/>
  <c r="B5" i="6"/>
  <c r="J11" i="6"/>
  <c r="J12" i="6"/>
  <c r="J13" i="6"/>
  <c r="J14" i="6"/>
  <c r="J15" i="6"/>
  <c r="J16" i="6"/>
  <c r="J17" i="6"/>
  <c r="J19" i="6"/>
  <c r="J20" i="6"/>
  <c r="I9" i="6"/>
  <c r="I20" i="6"/>
  <c r="I10" i="6"/>
  <c r="I11" i="6"/>
  <c r="I12" i="6"/>
  <c r="I13" i="6"/>
  <c r="I14" i="6"/>
  <c r="I15" i="6"/>
  <c r="I16" i="6"/>
  <c r="I17" i="6"/>
  <c r="I19" i="6"/>
  <c r="E3" i="6"/>
  <c r="E4" i="6"/>
  <c r="AD56" i="3"/>
  <c r="AA56" i="3"/>
  <c r="X56" i="3"/>
  <c r="U56" i="3"/>
  <c r="R56" i="3"/>
  <c r="O56" i="3"/>
  <c r="L56" i="3"/>
  <c r="I56" i="3"/>
  <c r="F56" i="3"/>
  <c r="F20" i="6"/>
  <c r="F4" i="6" s="1"/>
  <c r="F5" i="6" s="1"/>
  <c r="C20" i="6"/>
  <c r="F3" i="6" s="1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55" i="3"/>
  <c r="X55" i="3"/>
  <c r="U55" i="3"/>
  <c r="R55" i="3"/>
  <c r="O55" i="3"/>
  <c r="L55" i="3"/>
  <c r="I55" i="3"/>
  <c r="F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O54" i="3"/>
  <c r="L54" i="3"/>
  <c r="I54" i="3"/>
  <c r="F54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53" i="3"/>
  <c r="R47" i="3"/>
  <c r="R51" i="3"/>
  <c r="R38" i="3"/>
  <c r="R33" i="3"/>
  <c r="R21" i="3"/>
  <c r="R25" i="3"/>
  <c r="R18" i="3"/>
  <c r="R14" i="3"/>
  <c r="R10" i="3"/>
  <c r="R54" i="3"/>
  <c r="R52" i="3"/>
  <c r="R50" i="3"/>
  <c r="R49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0" i="3"/>
  <c r="O17" i="3"/>
  <c r="O47" i="3"/>
  <c r="O46" i="3"/>
  <c r="O45" i="3"/>
  <c r="O27" i="3"/>
  <c r="O21" i="3"/>
  <c r="O53" i="3"/>
  <c r="O52" i="3"/>
  <c r="O51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0" i="3"/>
  <c r="L37" i="3"/>
  <c r="L33" i="3"/>
  <c r="L31" i="3"/>
  <c r="L23" i="3"/>
  <c r="L15" i="3"/>
  <c r="L13" i="3"/>
  <c r="L40" i="3"/>
  <c r="L28" i="3"/>
  <c r="L27" i="3"/>
  <c r="L24" i="3"/>
  <c r="L20" i="3"/>
  <c r="L16" i="3"/>
  <c r="L53" i="3"/>
  <c r="L52" i="3"/>
  <c r="L51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G4" i="6" l="1"/>
</calcChain>
</file>

<file path=xl/sharedStrings.xml><?xml version="1.0" encoding="utf-8"?>
<sst xmlns="http://schemas.openxmlformats.org/spreadsheetml/2006/main" count="505" uniqueCount="204">
  <si>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</si>
  <si>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</si>
  <si>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</si>
  <si>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</si>
  <si>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</si>
  <si>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</si>
  <si>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</si>
  <si>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</si>
  <si>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</si>
  <si>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</si>
  <si>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</si>
  <si>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</si>
  <si>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</si>
  <si>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</si>
  <si>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</si>
  <si>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</si>
  <si>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</si>
  <si>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</si>
  <si>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</si>
  <si>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</si>
  <si>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</si>
  <si>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</si>
  <si>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</si>
  <si>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</si>
  <si>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</si>
  <si>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</si>
  <si>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</si>
  <si>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</si>
  <si>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</si>
  <si>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</si>
  <si>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</si>
  <si>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</si>
  <si>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</si>
  <si>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</si>
  <si>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</si>
  <si>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</si>
  <si>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</si>
  <si>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</si>
  <si>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</si>
  <si>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</si>
  <si>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</si>
  <si>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</si>
  <si>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</si>
  <si>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</si>
  <si>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</si>
  <si>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</si>
  <si>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</si>
  <si>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</si>
  <si>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</si>
  <si>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</si>
  <si>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</si>
  <si>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</si>
  <si>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</si>
  <si>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</si>
  <si>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</si>
  <si>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</si>
  <si>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</si>
  <si>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</si>
  <si>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</si>
  <si>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</si>
  <si>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</si>
  <si>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</si>
  <si>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</si>
  <si>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</si>
  <si>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</si>
  <si>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</si>
  <si>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</si>
  <si>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</si>
  <si>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</si>
  <si>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</si>
  <si>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</si>
  <si>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</si>
  <si>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</si>
  <si>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</si>
  <si>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</si>
  <si>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</si>
  <si>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</si>
  <si>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</si>
  <si>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</si>
  <si>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</si>
  <si>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</si>
  <si>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</si>
  <si>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</si>
  <si>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</si>
  <si>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</si>
  <si>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</si>
  <si>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</si>
  <si>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</si>
  <si>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</si>
  <si>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</si>
  <si>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</si>
  <si>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</si>
  <si>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</si>
  <si>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</si>
  <si>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</si>
  <si>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</si>
  <si>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</si>
  <si>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</si>
  <si>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</si>
  <si>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</si>
  <si>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</si>
  <si>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</si>
  <si>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</si>
  <si>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</si>
  <si>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</si>
  <si>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</si>
  <si>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</si>
  <si>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</si>
  <si>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</si>
  <si>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</si>
  <si>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</si>
  <si>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</si>
  <si>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</si>
  <si>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</si>
  <si>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</si>
  <si>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</si>
  <si>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</si>
  <si>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</si>
  <si>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</si>
  <si>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</si>
  <si>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</si>
  <si>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</si>
  <si>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</si>
  <si>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</si>
  <si>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</si>
  <si>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</si>
  <si>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</si>
  <si>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</si>
  <si>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</si>
  <si>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</si>
  <si>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</si>
  <si>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</si>
  <si>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</si>
  <si>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</si>
  <si>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</si>
  <si>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</si>
  <si>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</si>
  <si>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</si>
  <si>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</si>
  <si>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</si>
  <si>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</si>
  <si>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</si>
  <si>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</si>
  <si>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</si>
  <si>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</si>
  <si>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</si>
  <si>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</si>
  <si>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</si>
  <si>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</si>
  <si>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</si>
  <si>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</si>
  <si>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</si>
  <si>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</si>
  <si>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</si>
  <si>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</si>
  <si>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</si>
  <si>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</si>
  <si>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</si>
  <si>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</si>
  <si>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</si>
  <si>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</si>
  <si>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</si>
  <si>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</si>
  <si>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</si>
  <si>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</si>
  <si>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</si>
  <si>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</si>
  <si>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</si>
  <si>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</si>
  <si>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</si>
  <si>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</si>
  <si>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</si>
  <si>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</si>
  <si>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</si>
  <si>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</si>
  <si>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</si>
  <si>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</si>
  <si>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</si>
  <si>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</si>
  <si>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</si>
  <si>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</si>
  <si>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</si>
  <si>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</si>
  <si>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</si>
  <si>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</si>
  <si>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</si>
  <si>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</si>
  <si>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</si>
  <si>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</si>
  <si>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</si>
  <si>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</si>
  <si>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</si>
  <si>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</si>
  <si>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</si>
  <si>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</si>
  <si>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</si>
  <si>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</si>
  <si>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</si>
  <si>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</si>
  <si>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</si>
  <si>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</si>
  <si>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novo</t>
  </si>
  <si>
    <t>valor</t>
  </si>
  <si>
    <t>DIF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</si>
</sst>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7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3" fontId="0" fillId="0" borderId="0" xfId="0" applyNumberFormat="1"/>
    <xf numFmtId="4" fontId="0" fillId="0" borderId="0" xfId="0" applyNumberFormat="1"/>
    <xf numFmtId="43" fontId="0" fillId="0" borderId="0" xfId="1" applyFon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0" xfId="2" applyFont="1" applyFill="1" applyAlignment="1">
      <alignment horizontal="center"/>
    </xf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0" xfId="0" applyNumberFormat="1" applyFont="1" applyFill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8"/>
  <sheetViews>
    <sheetView tabSelected="1" workbookViewId="0">
      <selection activeCell="E47" sqref="E47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>
      <c r="A13" t="s">
        <v>141</v>
      </c>
      <c r="B13" t="s">
        <v>142</v>
      </c>
      <c r="C13">
        <v>3587600560.3558002</v>
      </c>
      <c r="D13">
        <v>12</v>
      </c>
      <c r="E13" t="s">
        <v>143</v>
      </c>
    </row>
    <row r="14" spans="1:5">
      <c r="A14" t="s">
        <v>131</v>
      </c>
      <c r="B14" t="s">
        <v>132</v>
      </c>
      <c r="C14">
        <v>3362976438.4943004</v>
      </c>
      <c r="D14">
        <v>13</v>
      </c>
      <c r="E14" t="s">
        <v>133</v>
      </c>
    </row>
    <row r="15" spans="1:5">
      <c r="A15" t="s">
        <v>154</v>
      </c>
      <c r="B15" t="s">
        <v>155</v>
      </c>
      <c r="C15">
        <v>3266253090.4288001</v>
      </c>
      <c r="D15">
        <v>14</v>
      </c>
      <c r="E15" t="s">
        <v>156</v>
      </c>
    </row>
    <row r="16" spans="1:5">
      <c r="A16" t="s">
        <v>107</v>
      </c>
      <c r="B16" t="s">
        <v>108</v>
      </c>
      <c r="C16">
        <v>3112975898.9035001</v>
      </c>
      <c r="D16">
        <v>15</v>
      </c>
      <c r="E16" t="s">
        <v>109</v>
      </c>
    </row>
    <row r="17" spans="1:5">
      <c r="A17" t="s">
        <v>6</v>
      </c>
      <c r="B17" t="s">
        <v>4</v>
      </c>
      <c r="C17" s="2">
        <v>3072351914.5858998</v>
      </c>
      <c r="D17">
        <v>16</v>
      </c>
      <c r="E17" t="s">
        <v>4</v>
      </c>
    </row>
    <row r="18" spans="1:5">
      <c r="A18" s="1" t="s">
        <v>171</v>
      </c>
      <c r="B18" t="s">
        <v>172</v>
      </c>
      <c r="C18">
        <v>2877095172.7603002</v>
      </c>
      <c r="D18">
        <v>17</v>
      </c>
      <c r="E18" t="s">
        <v>170</v>
      </c>
    </row>
    <row r="19" spans="1:5">
      <c r="A19" s="3" t="s">
        <v>90</v>
      </c>
      <c r="B19" t="s">
        <v>88</v>
      </c>
      <c r="C19" s="2">
        <v>2732689529.9464002</v>
      </c>
      <c r="D19">
        <v>18</v>
      </c>
      <c r="E19" t="s">
        <v>89</v>
      </c>
    </row>
    <row r="20" spans="1:5">
      <c r="A20" s="2" t="s">
        <v>29</v>
      </c>
      <c r="B20" t="s">
        <v>27</v>
      </c>
      <c r="C20" s="2">
        <v>2701682672.8340001</v>
      </c>
      <c r="D20">
        <v>19</v>
      </c>
      <c r="E20" t="s">
        <v>72</v>
      </c>
    </row>
    <row r="21" spans="1:5">
      <c r="A21" t="s">
        <v>113</v>
      </c>
      <c r="B21" t="s">
        <v>114</v>
      </c>
      <c r="C21">
        <v>2627796030.4057002</v>
      </c>
      <c r="D21">
        <v>20</v>
      </c>
      <c r="E21" t="s">
        <v>115</v>
      </c>
    </row>
    <row r="22" spans="1:5">
      <c r="A22" t="s">
        <v>138</v>
      </c>
      <c r="B22" t="s">
        <v>139</v>
      </c>
      <c r="C22">
        <v>2560782597.8657999</v>
      </c>
      <c r="D22">
        <v>21</v>
      </c>
      <c r="E22" t="s">
        <v>140</v>
      </c>
    </row>
    <row r="23" spans="1:5">
      <c r="A23" s="2" t="s">
        <v>60</v>
      </c>
      <c r="B23" t="s">
        <v>106</v>
      </c>
      <c r="C23" s="2">
        <v>2504418626.5585999</v>
      </c>
      <c r="D23">
        <v>22</v>
      </c>
      <c r="E23" t="s">
        <v>59</v>
      </c>
    </row>
    <row r="24" spans="1:5">
      <c r="A24" s="2" t="s">
        <v>52</v>
      </c>
      <c r="B24" s="2" t="s">
        <v>51</v>
      </c>
      <c r="C24" s="2">
        <v>2368227823.9503999</v>
      </c>
      <c r="D24">
        <v>23</v>
      </c>
      <c r="E24" t="s">
        <v>83</v>
      </c>
    </row>
    <row r="25" spans="1:5">
      <c r="A25" t="s">
        <v>134</v>
      </c>
      <c r="B25" t="s">
        <v>135</v>
      </c>
      <c r="C25">
        <v>1993048556.2706001</v>
      </c>
      <c r="D25">
        <v>24</v>
      </c>
      <c r="E25" t="s">
        <v>136</v>
      </c>
    </row>
    <row r="26" spans="1:5">
      <c r="A26" s="2" t="s">
        <v>93</v>
      </c>
      <c r="B26" t="s">
        <v>91</v>
      </c>
      <c r="C26" s="2">
        <v>1980625768.0632</v>
      </c>
      <c r="D26">
        <v>25</v>
      </c>
      <c r="E26" t="s">
        <v>92</v>
      </c>
    </row>
    <row r="27" spans="1:5">
      <c r="A27" s="2" t="s">
        <v>23</v>
      </c>
      <c r="B27" t="s">
        <v>18</v>
      </c>
      <c r="C27" s="2">
        <v>1876637915.7514</v>
      </c>
      <c r="D27">
        <v>26</v>
      </c>
      <c r="E27" t="s">
        <v>78</v>
      </c>
    </row>
    <row r="28" spans="1:5">
      <c r="A28" t="s">
        <v>125</v>
      </c>
      <c r="B28" t="s">
        <v>126</v>
      </c>
      <c r="C28">
        <v>1776182951.8903999</v>
      </c>
      <c r="D28">
        <v>27</v>
      </c>
      <c r="E28" t="s">
        <v>127</v>
      </c>
    </row>
    <row r="29" spans="1:5">
      <c r="A29" s="2" t="s">
        <v>40</v>
      </c>
      <c r="B29" t="s">
        <v>39</v>
      </c>
      <c r="C29" s="2">
        <v>1725634568.836</v>
      </c>
      <c r="D29">
        <v>28</v>
      </c>
      <c r="E29" t="s">
        <v>69</v>
      </c>
    </row>
    <row r="30" spans="1:5">
      <c r="A30" t="s">
        <v>147</v>
      </c>
      <c r="B30" t="s">
        <v>148</v>
      </c>
      <c r="C30">
        <v>1673290211.5378001</v>
      </c>
      <c r="D30">
        <v>29</v>
      </c>
      <c r="E30" t="s">
        <v>149</v>
      </c>
    </row>
    <row r="31" spans="1:5">
      <c r="A31" s="2" t="s">
        <v>64</v>
      </c>
      <c r="B31" t="s">
        <v>63</v>
      </c>
      <c r="C31" s="2">
        <v>1656740934.1712</v>
      </c>
      <c r="D31">
        <v>30</v>
      </c>
      <c r="E31" t="s">
        <v>76</v>
      </c>
    </row>
    <row r="32" spans="1:5">
      <c r="A32" t="s">
        <v>110</v>
      </c>
      <c r="B32" t="s">
        <v>111</v>
      </c>
      <c r="C32">
        <v>1530643567.1222999</v>
      </c>
      <c r="D32">
        <v>31</v>
      </c>
      <c r="E32" t="s">
        <v>112</v>
      </c>
    </row>
    <row r="33" spans="1:5">
      <c r="A33" s="2" t="s">
        <v>15</v>
      </c>
      <c r="B33" t="s">
        <v>11</v>
      </c>
      <c r="C33" s="2">
        <v>1381524611.072</v>
      </c>
      <c r="D33">
        <v>32</v>
      </c>
      <c r="E33" t="s">
        <v>79</v>
      </c>
    </row>
    <row r="34" spans="1:5">
      <c r="A34" t="s">
        <v>167</v>
      </c>
      <c r="B34" t="s">
        <v>168</v>
      </c>
      <c r="C34">
        <v>1361928070.4875</v>
      </c>
      <c r="D34">
        <v>33</v>
      </c>
      <c r="E34" t="s">
        <v>166</v>
      </c>
    </row>
    <row r="35" spans="1:5">
      <c r="A35" t="s">
        <v>144</v>
      </c>
      <c r="B35" t="s">
        <v>150</v>
      </c>
      <c r="C35">
        <v>1353528872.0985</v>
      </c>
      <c r="D35">
        <v>34</v>
      </c>
      <c r="E35" t="s">
        <v>146</v>
      </c>
    </row>
    <row r="36" spans="1:5">
      <c r="A36" t="s">
        <v>97</v>
      </c>
      <c r="B36" t="s">
        <v>98</v>
      </c>
      <c r="C36">
        <v>1325678176.596</v>
      </c>
      <c r="D36">
        <v>35</v>
      </c>
      <c r="E36" t="s">
        <v>99</v>
      </c>
    </row>
    <row r="37" spans="1:5">
      <c r="A37" s="2" t="s">
        <v>28</v>
      </c>
      <c r="B37" t="s">
        <v>26</v>
      </c>
      <c r="C37" s="2">
        <v>1165812766.0258</v>
      </c>
      <c r="D37">
        <v>36</v>
      </c>
      <c r="E37" t="s">
        <v>70</v>
      </c>
    </row>
    <row r="38" spans="1:5">
      <c r="A38" t="s">
        <v>116</v>
      </c>
      <c r="B38" t="s">
        <v>117</v>
      </c>
      <c r="C38">
        <v>1067166858.3022001</v>
      </c>
      <c r="D38">
        <v>37</v>
      </c>
      <c r="E38" t="s">
        <v>118</v>
      </c>
    </row>
    <row r="39" spans="1:5">
      <c r="A39" t="s">
        <v>58</v>
      </c>
      <c r="B39" s="2" t="s">
        <v>57</v>
      </c>
      <c r="C39" s="2">
        <v>798277420.14039993</v>
      </c>
      <c r="D39">
        <v>38</v>
      </c>
      <c r="E39" t="s">
        <v>74</v>
      </c>
    </row>
    <row r="40" spans="1:5">
      <c r="A40" t="s">
        <v>119</v>
      </c>
      <c r="B40" t="s">
        <v>120</v>
      </c>
      <c r="C40">
        <v>736638888.07299995</v>
      </c>
      <c r="D40">
        <v>39</v>
      </c>
      <c r="E40" t="s">
        <v>121</v>
      </c>
    </row>
    <row r="41" spans="1:5">
      <c r="A41" t="s">
        <v>100</v>
      </c>
      <c r="B41" t="s">
        <v>101</v>
      </c>
      <c r="C41">
        <v>709732346.70299995</v>
      </c>
      <c r="D41">
        <v>40</v>
      </c>
      <c r="E41" t="s">
        <v>102</v>
      </c>
    </row>
    <row r="42" spans="1:5">
      <c r="A42" s="2" t="s">
        <v>37</v>
      </c>
      <c r="B42" t="s">
        <v>38</v>
      </c>
      <c r="C42" s="2">
        <v>606032268.85399997</v>
      </c>
      <c r="D42">
        <v>41</v>
      </c>
      <c r="E42" t="s">
        <v>75</v>
      </c>
    </row>
    <row r="43" spans="1:5">
      <c r="A43" s="2" t="s">
        <v>14</v>
      </c>
      <c r="B43" t="s">
        <v>12</v>
      </c>
      <c r="C43" s="2">
        <v>573781963.81599998</v>
      </c>
      <c r="D43">
        <v>42</v>
      </c>
      <c r="E43" t="s">
        <v>73</v>
      </c>
    </row>
    <row r="44" spans="1:5">
      <c r="A44" s="2" t="s">
        <v>16</v>
      </c>
      <c r="B44" t="s">
        <v>13</v>
      </c>
      <c r="C44" s="2">
        <v>553597948.84200001</v>
      </c>
      <c r="D44">
        <v>43</v>
      </c>
      <c r="E44" t="s">
        <v>81</v>
      </c>
    </row>
    <row r="45" spans="1:5">
      <c r="A45" s="2" t="s">
        <v>36</v>
      </c>
      <c r="B45" t="s">
        <v>35</v>
      </c>
      <c r="C45" s="2">
        <v>530710459.26679999</v>
      </c>
      <c r="D45">
        <v>44</v>
      </c>
      <c r="E45" t="s">
        <v>87</v>
      </c>
    </row>
    <row r="46" spans="1:5">
      <c r="A46" t="s">
        <v>151</v>
      </c>
      <c r="B46" t="s">
        <v>145</v>
      </c>
      <c r="C46">
        <v>530091782.86059999</v>
      </c>
      <c r="D46">
        <v>45</v>
      </c>
      <c r="E46" t="s">
        <v>152</v>
      </c>
    </row>
    <row r="47" spans="1:5">
      <c r="A47" s="2" t="s">
        <v>22</v>
      </c>
      <c r="B47" t="s">
        <v>17</v>
      </c>
      <c r="C47" s="2">
        <v>461012591.167</v>
      </c>
      <c r="D47">
        <v>46</v>
      </c>
      <c r="E47" t="s">
        <v>82</v>
      </c>
    </row>
    <row r="48" spans="1:5">
      <c r="A48" t="s">
        <v>198</v>
      </c>
      <c r="B48" t="s">
        <v>199</v>
      </c>
      <c r="C48">
        <v>406944022.04479998</v>
      </c>
      <c r="D48">
        <v>47</v>
      </c>
      <c r="E48" t="s">
        <v>197</v>
      </c>
    </row>
    <row r="49" spans="1:5">
      <c r="A49" s="2" t="s">
        <v>21</v>
      </c>
      <c r="B49" t="s">
        <v>19</v>
      </c>
      <c r="C49" s="2">
        <v>356584720.3696</v>
      </c>
      <c r="D49">
        <v>48</v>
      </c>
      <c r="E49" t="s">
        <v>84</v>
      </c>
    </row>
    <row r="50" spans="1:5">
      <c r="A50" s="2" t="s">
        <v>41</v>
      </c>
      <c r="B50" s="2" t="s">
        <v>42</v>
      </c>
      <c r="C50" s="2">
        <v>325181328.55540001</v>
      </c>
      <c r="D50">
        <v>49</v>
      </c>
      <c r="E50" t="s">
        <v>77</v>
      </c>
    </row>
    <row r="51" spans="1:5">
      <c r="A51" s="2" t="s">
        <v>62</v>
      </c>
      <c r="B51" t="s">
        <v>61</v>
      </c>
      <c r="C51" s="2">
        <v>294832398.73720002</v>
      </c>
      <c r="D51">
        <v>50</v>
      </c>
      <c r="E51" t="s">
        <v>153</v>
      </c>
    </row>
    <row r="52" spans="1:5">
      <c r="A52" t="s">
        <v>128</v>
      </c>
      <c r="B52" t="s">
        <v>129</v>
      </c>
      <c r="C52">
        <v>138194550.896</v>
      </c>
      <c r="D52">
        <v>51</v>
      </c>
      <c r="E52" t="s">
        <v>130</v>
      </c>
    </row>
    <row r="53" spans="1:5">
      <c r="A53" s="2" t="s">
        <v>54</v>
      </c>
      <c r="B53" t="s">
        <v>53</v>
      </c>
      <c r="C53" s="2">
        <v>132398674.263</v>
      </c>
      <c r="D53">
        <v>52</v>
      </c>
      <c r="E53" t="s">
        <v>86</v>
      </c>
    </row>
    <row r="54" spans="1:5">
      <c r="A54" s="2" t="s">
        <v>30</v>
      </c>
      <c r="B54" t="s">
        <v>25</v>
      </c>
      <c r="C54" s="2">
        <v>126761734.88150001</v>
      </c>
      <c r="D54">
        <v>53</v>
      </c>
      <c r="E54" t="s">
        <v>80</v>
      </c>
    </row>
    <row r="55" spans="1:5">
      <c r="A55" s="3" t="s">
        <v>56</v>
      </c>
      <c r="B55" t="s">
        <v>55</v>
      </c>
      <c r="C55" s="2">
        <v>52091879.267999999</v>
      </c>
      <c r="D55">
        <v>54</v>
      </c>
      <c r="E55" t="s">
        <v>85</v>
      </c>
    </row>
    <row r="58" spans="1:5">
      <c r="C58" s="18"/>
    </row>
  </sheetData>
  <autoFilter ref="A1:E1" xr:uid="{F35CEFC1-B3C5-47E8-B313-C5CF74631A2D}">
    <sortState xmlns:xlrd2="http://schemas.microsoft.com/office/spreadsheetml/2017/richdata2" ref="A2:E55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34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E58"/>
  <sheetViews>
    <sheetView topLeftCell="F1" zoomScale="55" zoomScaleNormal="55" workbookViewId="0">
      <selection activeCell="AG24" sqref="AG24"/>
    </sheetView>
  </sheetViews>
  <sheetFormatPr defaultRowHeight="15"/>
  <cols>
    <col min="1" max="1" width="30.42578125" customWidth="1"/>
    <col min="2" max="2" width="25.140625" bestFit="1" customWidth="1"/>
    <col min="3" max="3" width="14.85546875" bestFit="1" customWidth="1"/>
    <col min="4" max="4" width="14.7109375" bestFit="1" customWidth="1"/>
    <col min="5" max="6" width="16" bestFit="1" customWidth="1"/>
    <col min="7" max="7" width="14.7109375" bestFit="1" customWidth="1"/>
    <col min="8" max="9" width="16" bestFit="1" customWidth="1"/>
    <col min="10" max="10" width="14.7109375" bestFit="1" customWidth="1"/>
    <col min="11" max="12" width="16" bestFit="1" customWidth="1"/>
    <col min="13" max="13" width="14.7109375" bestFit="1" customWidth="1"/>
    <col min="14" max="15" width="16" bestFit="1" customWidth="1"/>
    <col min="16" max="16" width="14.7109375" bestFit="1" customWidth="1"/>
    <col min="17" max="19" width="16" bestFit="1" customWidth="1"/>
    <col min="20" max="20" width="18.5703125" bestFit="1" customWidth="1"/>
    <col min="21" max="21" width="20.42578125" bestFit="1" customWidth="1"/>
    <col min="22" max="29" width="16" bestFit="1" customWidth="1"/>
    <col min="30" max="30" width="21.140625" bestFit="1" customWidth="1"/>
    <col min="33" max="33" width="14.7109375" bestFit="1" customWidth="1"/>
  </cols>
  <sheetData>
    <row r="1" spans="1:31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/>
    </row>
    <row r="2" spans="1:31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</row>
    <row r="3" spans="1:31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  <c r="S3">
        <v>684655622</v>
      </c>
      <c r="T3">
        <v>6913515539.8316002</v>
      </c>
      <c r="U3">
        <f>SUM($S$3+$T$3)</f>
        <v>7598171161.8316002</v>
      </c>
      <c r="V3">
        <v>713186857</v>
      </c>
      <c r="W3">
        <v>7311520339.2783003</v>
      </c>
      <c r="X3">
        <f>SUM($V$3+$W$3)</f>
        <v>8024707196.2783003</v>
      </c>
      <c r="Y3">
        <v>783452552</v>
      </c>
      <c r="Z3">
        <v>8328100627.7600002</v>
      </c>
      <c r="AA3">
        <f>SUM($Y$3+$Z$3)</f>
        <v>9111553179.7600002</v>
      </c>
      <c r="AB3">
        <v>916587347</v>
      </c>
      <c r="AC3">
        <v>9999601320.8311996</v>
      </c>
      <c r="AD3">
        <f>SUM($AB$3+$AC$3)</f>
        <v>10916188667.8312</v>
      </c>
    </row>
    <row r="4" spans="1:31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  <c r="S4">
        <v>467397501</v>
      </c>
      <c r="T4">
        <v>3431398753.5914998</v>
      </c>
      <c r="U4">
        <f>SUM($S$4+$T$4)</f>
        <v>3898796254.5914998</v>
      </c>
      <c r="V4">
        <v>490101752</v>
      </c>
      <c r="W4">
        <v>3679929004.8920002</v>
      </c>
      <c r="X4">
        <f>SUM($V$4+$W$4)</f>
        <v>4170030756.8920002</v>
      </c>
      <c r="Y4">
        <v>566403572</v>
      </c>
      <c r="Z4">
        <v>4493506098.1048002</v>
      </c>
      <c r="AA4">
        <f>SUM($Y$4+$Z$4)</f>
        <v>5059909670.1048002</v>
      </c>
      <c r="AB4">
        <v>672254831</v>
      </c>
      <c r="AC4">
        <v>5531648876.8835001</v>
      </c>
      <c r="AD4">
        <f>SUM($AB$4+$AC$4)</f>
        <v>6203903707.8835001</v>
      </c>
    </row>
    <row r="5" spans="1:31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  <c r="S5">
        <v>693886835</v>
      </c>
      <c r="T5">
        <v>6180588816.7119999</v>
      </c>
      <c r="U5">
        <f>SUM($S$5+$T$5)</f>
        <v>6874475651.7119999</v>
      </c>
      <c r="V5">
        <v>753375985</v>
      </c>
      <c r="W5">
        <v>6848790404.4380007</v>
      </c>
      <c r="X5">
        <f>SUM($V$5+$W$5)</f>
        <v>7602166389.4380007</v>
      </c>
      <c r="Y5">
        <v>865086852</v>
      </c>
      <c r="Z5">
        <v>8068232525.1779995</v>
      </c>
      <c r="AA5">
        <f>SUM($Y$5+$Z$5)</f>
        <v>8933319377.1779995</v>
      </c>
      <c r="AB5">
        <v>1040240427</v>
      </c>
      <c r="AC5">
        <v>10466691128.388599</v>
      </c>
      <c r="AD5">
        <f>SUM($AB$5+$AC$5)</f>
        <v>11506931555.388599</v>
      </c>
    </row>
    <row r="6" spans="1:31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  <c r="AB6">
        <v>1082665544</v>
      </c>
      <c r="AC6">
        <v>11117351138.563999</v>
      </c>
      <c r="AD6">
        <f>SUM($AB$6+$AC$6)</f>
        <v>12200016682.563999</v>
      </c>
    </row>
    <row r="7" spans="1:31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  <c r="S7">
        <v>577652774</v>
      </c>
      <c r="T7">
        <v>4600080100.4716005</v>
      </c>
      <c r="U7">
        <f>SUM($S$7+$T$7)</f>
        <v>5177732874.4716005</v>
      </c>
      <c r="V7">
        <v>704885416</v>
      </c>
      <c r="W7">
        <v>6020637803.6808004</v>
      </c>
      <c r="X7">
        <f>SUM($V$7+$W$7)</f>
        <v>6725523219.6808004</v>
      </c>
      <c r="Y7">
        <v>813341926</v>
      </c>
      <c r="Z7">
        <v>7349926982.6841993</v>
      </c>
      <c r="AA7">
        <f>SUM($Y$7+$Z$7)</f>
        <v>8163268908.6841993</v>
      </c>
      <c r="AB7">
        <v>926836931</v>
      </c>
      <c r="AC7">
        <v>8768155418.3393002</v>
      </c>
      <c r="AD7">
        <f>SUM($AB$7+$AC$7)</f>
        <v>9694992349.3393002</v>
      </c>
    </row>
    <row r="8" spans="1:31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  <c r="S8">
        <v>480515502</v>
      </c>
      <c r="T8">
        <v>3709867984.7412</v>
      </c>
      <c r="U8">
        <f>SUM($S$8+$T$8)</f>
        <v>4190383486.7412</v>
      </c>
      <c r="V8">
        <v>516828396</v>
      </c>
      <c r="W8">
        <v>4085580153.2195997</v>
      </c>
      <c r="X8">
        <f>SUM($V$8+$W$8)</f>
        <v>4602408549.2195997</v>
      </c>
      <c r="Y8">
        <v>614006139</v>
      </c>
      <c r="Z8">
        <v>4919908390.5791998</v>
      </c>
      <c r="AA8">
        <f>SUM($Y$8+$Z$8)</f>
        <v>5533914529.5791998</v>
      </c>
      <c r="AB8">
        <v>677051659</v>
      </c>
      <c r="AC8">
        <v>5556495260.2471008</v>
      </c>
      <c r="AD8">
        <f>SUM($AB$8+$AC$8)</f>
        <v>6233546919.2471008</v>
      </c>
    </row>
    <row r="9" spans="1:31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  <c r="S9">
        <v>410612167</v>
      </c>
      <c r="T9">
        <v>2791793184.6496997</v>
      </c>
      <c r="U9">
        <f>SUM($S$9+$T$9)</f>
        <v>3202405351.6496997</v>
      </c>
      <c r="V9">
        <v>447324897</v>
      </c>
      <c r="W9">
        <v>3115975767.5226002</v>
      </c>
      <c r="X9">
        <f>SUM($V$9+$W$9)</f>
        <v>3563300664.5226002</v>
      </c>
      <c r="Y9">
        <v>508909675</v>
      </c>
      <c r="Z9">
        <v>3694989586.3049998</v>
      </c>
      <c r="AA9">
        <f>SUM($Y$9+$Z$9)</f>
        <v>4203899261.3049998</v>
      </c>
      <c r="AB9">
        <v>566345030</v>
      </c>
      <c r="AC9">
        <v>4168922400.3330002</v>
      </c>
      <c r="AD9">
        <f>SUM($AB$9+$AC$9)</f>
        <v>4735267430.3330002</v>
      </c>
    </row>
    <row r="10" spans="1:31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  <c r="S10">
        <v>343898213</v>
      </c>
      <c r="T10">
        <v>2139528342.3581998</v>
      </c>
      <c r="U10">
        <f>SUM($S$10+$T$10)</f>
        <v>2483426555.3582001</v>
      </c>
      <c r="V10">
        <v>422902273</v>
      </c>
      <c r="W10">
        <v>2796356699.7579002</v>
      </c>
      <c r="X10">
        <f>SUM($V$10+$W$10)</f>
        <v>3219258972.7579002</v>
      </c>
      <c r="Y10">
        <v>534141871</v>
      </c>
      <c r="Z10">
        <v>3853085800.6455998</v>
      </c>
      <c r="AA10">
        <f>SUM($Y$10+$Z$10)</f>
        <v>4387227671.6455994</v>
      </c>
      <c r="AB10">
        <v>647698621</v>
      </c>
      <c r="AC10">
        <v>4837984849.5595007</v>
      </c>
      <c r="AD10">
        <f>SUM($AB$10+$AC$10)</f>
        <v>5485683470.5595007</v>
      </c>
    </row>
    <row r="11" spans="1:31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  <c r="S11">
        <v>353731744</v>
      </c>
      <c r="T11">
        <v>1915103662.016</v>
      </c>
      <c r="U11">
        <f>SUM($S$11+$T$11)</f>
        <v>2268835406.0159998</v>
      </c>
      <c r="V11">
        <v>395580544</v>
      </c>
      <c r="W11">
        <v>2192109584.5759997</v>
      </c>
      <c r="X11">
        <f>SUM($V$11+$W$11)</f>
        <v>2587690128.5759997</v>
      </c>
      <c r="Y11">
        <v>463174872</v>
      </c>
      <c r="Z11">
        <v>2677706570.0064001</v>
      </c>
      <c r="AA11">
        <f>SUM($Y$11+$Z$11)</f>
        <v>3140881442.0064001</v>
      </c>
      <c r="AB11">
        <v>511460382</v>
      </c>
      <c r="AC11">
        <v>3051832953.3558002</v>
      </c>
      <c r="AD11">
        <f>SUM($AB$11+$AC$11)</f>
        <v>3563293335.3558002</v>
      </c>
    </row>
    <row r="12" spans="1:31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  <c r="S12">
        <v>312839014</v>
      </c>
      <c r="T12">
        <v>1249134899.0006001</v>
      </c>
      <c r="U12">
        <f>SUM($S$12+$T$12)</f>
        <v>1561973913.0006001</v>
      </c>
      <c r="V12">
        <v>321847734</v>
      </c>
      <c r="W12">
        <v>1316485971.1536</v>
      </c>
      <c r="X12">
        <f>SUM($V$12+$W$12)</f>
        <v>1638333705.1536</v>
      </c>
      <c r="Y12">
        <v>409888814</v>
      </c>
      <c r="Z12">
        <v>1848762506.6656001</v>
      </c>
      <c r="AA12">
        <f>SUM($Y$12+$Z$12)</f>
        <v>2258651320.6655998</v>
      </c>
      <c r="AB12">
        <v>435098489</v>
      </c>
      <c r="AC12">
        <v>2030778687.5585999</v>
      </c>
      <c r="AD12">
        <f>SUM($AB$12+$AC$12)</f>
        <v>2465877176.5585999</v>
      </c>
    </row>
    <row r="13" spans="1:31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  <c r="S13">
        <v>328291260</v>
      </c>
      <c r="T13">
        <v>2044072701.2639999</v>
      </c>
      <c r="U13">
        <f>SUM($S$13+$T$13)</f>
        <v>2372363961.2639999</v>
      </c>
      <c r="V13">
        <v>425644700</v>
      </c>
      <c r="W13">
        <v>2745408315</v>
      </c>
      <c r="X13">
        <f>SUM($V$13+$W$13)</f>
        <v>3171053015</v>
      </c>
      <c r="Y13">
        <v>511274083</v>
      </c>
      <c r="Z13">
        <v>3382640460.5363002</v>
      </c>
      <c r="AA13">
        <f>SUM($Y$13+$Z$13)</f>
        <v>3893914543.5363002</v>
      </c>
      <c r="AB13">
        <v>655164573</v>
      </c>
      <c r="AC13">
        <v>4646099569.4294996</v>
      </c>
      <c r="AD13">
        <f>SUM($AB$13+$AC$13)</f>
        <v>5301264142.4294996</v>
      </c>
    </row>
    <row r="14" spans="1:31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  <c r="S14">
        <v>228525350</v>
      </c>
      <c r="T14">
        <v>1063945471.995</v>
      </c>
      <c r="U14">
        <f>SUM($S$14+$T$14)</f>
        <v>1292470821.9949999</v>
      </c>
      <c r="V14">
        <v>237666677</v>
      </c>
      <c r="W14">
        <v>1113872415.0959001</v>
      </c>
      <c r="X14">
        <f>SUM($V$14+$W$14)</f>
        <v>1351539092.0959001</v>
      </c>
      <c r="Y14">
        <v>284272714</v>
      </c>
      <c r="Z14">
        <v>1384038562.6517999</v>
      </c>
      <c r="AA14">
        <f>SUM($Y$14+$Z$14)</f>
        <v>1668311276.6517999</v>
      </c>
      <c r="AB14">
        <v>297122504</v>
      </c>
      <c r="AC14">
        <v>1458901206.8903999</v>
      </c>
      <c r="AD14">
        <f>SUM($AB$14+$AC$14)</f>
        <v>1756023710.8903999</v>
      </c>
    </row>
    <row r="15" spans="1:31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  <c r="S15">
        <v>259820074</v>
      </c>
      <c r="T15">
        <v>1208319236.1444001</v>
      </c>
      <c r="U15">
        <f>SUM($S$15+$T$15)</f>
        <v>1468139310.1444001</v>
      </c>
      <c r="V15">
        <v>264902344</v>
      </c>
      <c r="W15">
        <v>1231954841.0064001</v>
      </c>
      <c r="X15">
        <f>SUM($V$15+$W$15)</f>
        <v>1496857185.0064001</v>
      </c>
      <c r="Y15">
        <v>283863313</v>
      </c>
      <c r="Z15">
        <v>1339891610.0225999</v>
      </c>
      <c r="AA15">
        <f>SUM($Y$15+$Z$15)</f>
        <v>1623754923.0225999</v>
      </c>
      <c r="AB15">
        <v>324249559</v>
      </c>
      <c r="AC15">
        <v>1632077730.2705998</v>
      </c>
      <c r="AD15">
        <f>SUM($AB$15+$AC$15)</f>
        <v>1956327289.2705998</v>
      </c>
    </row>
    <row r="16" spans="1:31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  <c r="S16">
        <v>184472796</v>
      </c>
      <c r="T16">
        <v>960457612.37399995</v>
      </c>
      <c r="U16">
        <f>SUM($S$16+$T$16)</f>
        <v>1144930408.3740001</v>
      </c>
      <c r="V16">
        <v>208759125</v>
      </c>
      <c r="W16">
        <v>1076278544.8499999</v>
      </c>
      <c r="X16">
        <f>SUM($V$16+$W$16)</f>
        <v>1285037669.8499999</v>
      </c>
      <c r="Y16">
        <v>321295598</v>
      </c>
      <c r="Z16">
        <v>1754370353.7593999</v>
      </c>
      <c r="AA16">
        <f>SUM($Y$16+$Z$16)</f>
        <v>2075665951.7593999</v>
      </c>
      <c r="AB16">
        <v>398112258</v>
      </c>
      <c r="AC16">
        <v>2321312953.9464002</v>
      </c>
      <c r="AD16">
        <f>SUM($AB$16+$AC$16)</f>
        <v>2719425211.9464002</v>
      </c>
    </row>
    <row r="17" spans="2:30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  <c r="S17">
        <v>543683638</v>
      </c>
      <c r="T17">
        <v>4283411541.9830003</v>
      </c>
      <c r="U17">
        <f>SUM($S$17+$T$17)</f>
        <v>4827095179.9829998</v>
      </c>
      <c r="V17">
        <v>602618688</v>
      </c>
      <c r="W17">
        <v>4874401781.6255999</v>
      </c>
      <c r="X17">
        <f>SUM($V$17+$W$17)</f>
        <v>5477020469.6255999</v>
      </c>
      <c r="Y17">
        <v>750028696</v>
      </c>
      <c r="Z17">
        <v>6301366089.4440002</v>
      </c>
      <c r="AA17">
        <f>SUM($Y$17+$Z$17)</f>
        <v>7051394785.4440002</v>
      </c>
      <c r="AB17">
        <v>865212311</v>
      </c>
      <c r="AC17">
        <v>7623385672.2210007</v>
      </c>
      <c r="AD17">
        <f>SUM($AB$17+$AC$17)</f>
        <v>8488597983.2210007</v>
      </c>
    </row>
    <row r="18" spans="2:30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  <c r="AB18">
        <v>444863403</v>
      </c>
      <c r="AC18">
        <v>2604808683.5858998</v>
      </c>
      <c r="AD18">
        <f>SUM($AB$18+$AC$18)</f>
        <v>3049672086.5858998</v>
      </c>
    </row>
    <row r="19" spans="2:30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  <c r="S19">
        <v>208664781</v>
      </c>
      <c r="T19">
        <v>916413985.19580007</v>
      </c>
      <c r="U19">
        <f>SUM($S$19+$T$19)</f>
        <v>1125078766.1958001</v>
      </c>
      <c r="V19">
        <v>231824956</v>
      </c>
      <c r="W19">
        <v>1050352510.6447999</v>
      </c>
      <c r="X19">
        <f>SUM($V$19+$W$19)</f>
        <v>1282177466.6447999</v>
      </c>
      <c r="Y19">
        <v>253508383</v>
      </c>
      <c r="Z19">
        <v>1175239512.7496998</v>
      </c>
      <c r="AA19">
        <f>SUM($Y$19+$Z$19)</f>
        <v>1428747895.7496998</v>
      </c>
      <c r="AB19">
        <v>296092778</v>
      </c>
      <c r="AC19">
        <v>1409993808.836</v>
      </c>
      <c r="AD19">
        <f>SUM($AB$19+$AC$19)</f>
        <v>1706086586.836</v>
      </c>
    </row>
    <row r="20" spans="2:30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  <c r="S20">
        <v>252721000</v>
      </c>
      <c r="T20">
        <v>1274699451.8999999</v>
      </c>
      <c r="U20">
        <f>SUM($S$20+$T$20)</f>
        <v>1527420451.8999999</v>
      </c>
      <c r="V20">
        <v>311095485</v>
      </c>
      <c r="W20">
        <v>1623856212.6030002</v>
      </c>
      <c r="X20">
        <f>SUM($V$20+$W$20)</f>
        <v>1934951697.6030002</v>
      </c>
      <c r="Y20">
        <v>401468375</v>
      </c>
      <c r="Z20">
        <v>2207433713.0999999</v>
      </c>
      <c r="AA20">
        <f>SUM($Y$20+$Z$20)</f>
        <v>2608902088.0999999</v>
      </c>
      <c r="AB20">
        <v>496175343</v>
      </c>
      <c r="AC20">
        <v>2838172579.4942999</v>
      </c>
      <c r="AD20">
        <f>SUM($AB$20+$AC$20)</f>
        <v>3334347922.4942999</v>
      </c>
    </row>
    <row r="21" spans="2:30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  <c r="S21">
        <v>183364435</v>
      </c>
      <c r="T21">
        <v>724436209.79799998</v>
      </c>
      <c r="U21">
        <f>SUM($S$21+$T$21)</f>
        <v>907800644.79799998</v>
      </c>
      <c r="V21">
        <v>204120176</v>
      </c>
      <c r="W21">
        <v>841852841.87680006</v>
      </c>
      <c r="X21">
        <f>SUM($V$21+$W$21)</f>
        <v>1045973017.8768001</v>
      </c>
      <c r="Y21">
        <v>233956519</v>
      </c>
      <c r="Z21">
        <v>1005404744.7506</v>
      </c>
      <c r="AA21">
        <f>SUM($Y$21+$Z$21)</f>
        <v>1239361263.7505999</v>
      </c>
      <c r="AB21">
        <v>244925674</v>
      </c>
      <c r="AC21">
        <v>1066406384.596</v>
      </c>
      <c r="AD21">
        <f>SUM($AB$21+$AC$21)</f>
        <v>1311332058.596</v>
      </c>
    </row>
    <row r="22" spans="2:30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  <c r="S22">
        <v>270038057</v>
      </c>
      <c r="T22">
        <v>1151226244.6024001</v>
      </c>
      <c r="U22">
        <f>SUM($S$22+$T$22)</f>
        <v>1421264301.6024001</v>
      </c>
      <c r="V22">
        <v>312022282</v>
      </c>
      <c r="W22">
        <v>1409467052.2504001</v>
      </c>
      <c r="X22">
        <f>SUM($V$22+$W$22)</f>
        <v>1721489334.2504001</v>
      </c>
      <c r="Y22">
        <v>363581775</v>
      </c>
      <c r="Z22">
        <v>1690473462.8625</v>
      </c>
      <c r="AA22">
        <f>SUM($Y$22+$Z$22)</f>
        <v>2054055237.8625</v>
      </c>
      <c r="AB22">
        <v>441374735</v>
      </c>
      <c r="AC22">
        <v>2208815723.8340001</v>
      </c>
      <c r="AD22">
        <f>SUM($AB$22+$AC$22)</f>
        <v>2650190458.8340001</v>
      </c>
    </row>
    <row r="23" spans="2:30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  <c r="S23">
        <v>240055699</v>
      </c>
      <c r="T23">
        <v>1121084119.8999</v>
      </c>
      <c r="U23">
        <f>SUM($S$23+$T$23)</f>
        <v>1361139818.8999</v>
      </c>
      <c r="V23">
        <v>281296661</v>
      </c>
      <c r="W23">
        <v>1440632719.6454</v>
      </c>
      <c r="X23">
        <f>SUM($V$23+$W$23)</f>
        <v>1721929380.6454</v>
      </c>
      <c r="Y23">
        <v>385427343</v>
      </c>
      <c r="Z23">
        <v>2150376232.0655999</v>
      </c>
      <c r="AA23">
        <f>SUM($Y$23+$Z$23)</f>
        <v>2535803575.0655999</v>
      </c>
      <c r="AB23">
        <v>486528698</v>
      </c>
      <c r="AC23">
        <v>2746746417.4287996</v>
      </c>
      <c r="AD23">
        <f>SUM($AB$23+$AC$23)</f>
        <v>3233275115.4287996</v>
      </c>
    </row>
    <row r="24" spans="2:30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  <c r="S24">
        <v>159199561</v>
      </c>
      <c r="T24">
        <v>642768227.53750002</v>
      </c>
      <c r="U24">
        <f>SUM($S$24+$T$24)</f>
        <v>801967788.53750002</v>
      </c>
      <c r="V24">
        <v>175837971</v>
      </c>
      <c r="W24">
        <v>721410443.62169993</v>
      </c>
      <c r="X24">
        <f>SUM($V$24+$W$24)</f>
        <v>897248414.62169993</v>
      </c>
      <c r="Y24">
        <v>195320271</v>
      </c>
      <c r="Z24">
        <v>803137422.32490003</v>
      </c>
      <c r="AA24">
        <f>SUM($Y$24+$Z$24)</f>
        <v>998457693.32490003</v>
      </c>
      <c r="AB24">
        <v>225998726</v>
      </c>
      <c r="AC24">
        <v>928470566.02579999</v>
      </c>
      <c r="AD24">
        <f>SUM($AB$24+$AC$24)</f>
        <v>1154469292.0258</v>
      </c>
    </row>
    <row r="25" spans="2:30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  <c r="S25">
        <v>170173661</v>
      </c>
      <c r="T25">
        <v>760472056.27680004</v>
      </c>
      <c r="U25">
        <f>SUM($S$25+$T$25)</f>
        <v>930645717.27680004</v>
      </c>
      <c r="V25">
        <v>195413661</v>
      </c>
      <c r="W25">
        <v>898375223.71530008</v>
      </c>
      <c r="X25">
        <f>SUM($V$25+$W$25)</f>
        <v>1093788884.7153001</v>
      </c>
      <c r="Y25">
        <v>232878428</v>
      </c>
      <c r="Z25">
        <v>1097928636.6487999</v>
      </c>
      <c r="AA25">
        <f>SUM($Y$25+$Z$25)</f>
        <v>1330807064.6487999</v>
      </c>
      <c r="AB25">
        <v>322819448</v>
      </c>
      <c r="AC25">
        <v>1558120347.7168</v>
      </c>
      <c r="AD25">
        <f>SUM($AB$25+$AC$25)</f>
        <v>1880939795.7168</v>
      </c>
    </row>
    <row r="26" spans="2:30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  <c r="S26">
        <v>256360514</v>
      </c>
      <c r="T26">
        <v>1144239518.1875999</v>
      </c>
      <c r="U26">
        <f>SUM($S$26+$T$26)</f>
        <v>1400600032.1875999</v>
      </c>
      <c r="V26">
        <v>290005884</v>
      </c>
      <c r="W26">
        <v>1349165373.5448</v>
      </c>
      <c r="X26">
        <f>SUM($V$26+$W$26)</f>
        <v>1639171257.5448</v>
      </c>
      <c r="Y26">
        <v>359152717</v>
      </c>
      <c r="Z26">
        <v>1774789066.3272002</v>
      </c>
      <c r="AA26">
        <f>SUM($Y$26+$Z$26)</f>
        <v>2133941783.3272002</v>
      </c>
      <c r="AB26">
        <v>497357157</v>
      </c>
      <c r="AC26">
        <v>2598939823.9034996</v>
      </c>
      <c r="AD26">
        <f>SUM($AB$26+$AC$26)</f>
        <v>3096296980.9034996</v>
      </c>
    </row>
    <row r="27" spans="2:30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  <c r="S27">
        <v>145184346</v>
      </c>
      <c r="T27">
        <v>608032041.04799998</v>
      </c>
      <c r="U27">
        <f>SUM($S$27+$T$27)</f>
        <v>753216387.04799998</v>
      </c>
      <c r="V27">
        <v>161341676</v>
      </c>
      <c r="W27">
        <v>691671765.01199996</v>
      </c>
      <c r="X27">
        <f>SUM($V$27+$W$27)</f>
        <v>853013441.01199996</v>
      </c>
      <c r="Y27">
        <v>219835096</v>
      </c>
      <c r="Z27">
        <v>970308146.72479999</v>
      </c>
      <c r="AA27">
        <f>SUM($Y$27+$Z$27)</f>
        <v>1190143242.7248001</v>
      </c>
      <c r="AB27">
        <v>245953355</v>
      </c>
      <c r="AC27">
        <v>1094664597.0985</v>
      </c>
      <c r="AD27">
        <f>SUM($AB$27+$AC$27)</f>
        <v>1340617952.0985</v>
      </c>
    </row>
    <row r="28" spans="2:30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  <c r="S28">
        <v>125509245</v>
      </c>
      <c r="T28">
        <v>466078581.3075</v>
      </c>
      <c r="U28">
        <f>SUM($S$28+$T$28)</f>
        <v>591587826.3075</v>
      </c>
      <c r="V28">
        <v>140883164</v>
      </c>
      <c r="W28">
        <v>565378225.44840002</v>
      </c>
      <c r="X28">
        <f>SUM($V$28+$W$28)</f>
        <v>706261389.44840002</v>
      </c>
      <c r="Y28">
        <v>183988839</v>
      </c>
      <c r="Z28">
        <v>802007349.20099998</v>
      </c>
      <c r="AA28">
        <f>SUM($Y$28+$Z$28)</f>
        <v>985996188.20099998</v>
      </c>
      <c r="AB28">
        <v>258063829</v>
      </c>
      <c r="AC28">
        <v>1264177279.1222999</v>
      </c>
      <c r="AD28">
        <f>SUM($AB$28+$AC$28)</f>
        <v>1522241108.1222999</v>
      </c>
    </row>
    <row r="29" spans="2:30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  <c r="S29">
        <v>91385070</v>
      </c>
      <c r="T29">
        <v>210907603.053</v>
      </c>
      <c r="U29">
        <f>SUM($S$29+$T$29)</f>
        <v>302292673.05299997</v>
      </c>
      <c r="V29">
        <v>110299900</v>
      </c>
      <c r="W29">
        <v>284937731.66999996</v>
      </c>
      <c r="X29">
        <f>SUM($V$29+$W$29)</f>
        <v>395237631.66999996</v>
      </c>
      <c r="Y29">
        <v>142436140</v>
      </c>
      <c r="Z29">
        <v>383067754.91600001</v>
      </c>
      <c r="AA29">
        <f>SUM($Y$29+$Z$29)</f>
        <v>525503894.91600001</v>
      </c>
      <c r="AB29">
        <v>151852540</v>
      </c>
      <c r="AC29">
        <v>413099649.81600004</v>
      </c>
      <c r="AD29">
        <f>SUM($AB$29+$AC$29)</f>
        <v>564952189.81599998</v>
      </c>
    </row>
    <row r="30" spans="2:30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  <c r="S30">
        <v>190586089</v>
      </c>
      <c r="T30">
        <v>830593234.47090006</v>
      </c>
      <c r="U30">
        <f>SUM($S$30+$T$30)</f>
        <v>1021179323.4709001</v>
      </c>
      <c r="V30">
        <v>225902569</v>
      </c>
      <c r="W30">
        <v>1008677560.8419</v>
      </c>
      <c r="X30">
        <f>SUM($V$30+$W$30)</f>
        <v>1234580129.8418999</v>
      </c>
      <c r="Y30">
        <v>327364886</v>
      </c>
      <c r="Z30">
        <v>1568306959.3601999</v>
      </c>
      <c r="AA30">
        <f>SUM($Y$30+$Z$30)</f>
        <v>1895671845.3601999</v>
      </c>
      <c r="AB30">
        <v>415758706</v>
      </c>
      <c r="AC30">
        <v>2145023891.8657999</v>
      </c>
      <c r="AD30">
        <f>SUM($AB$30+$AC$30)</f>
        <v>2560782597.8657999</v>
      </c>
    </row>
    <row r="31" spans="2:30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  <c r="S31">
        <v>218765035</v>
      </c>
      <c r="T31">
        <v>904877814.27049994</v>
      </c>
      <c r="U31">
        <f>SUM($S$31+$T$31)</f>
        <v>1123642849.2704999</v>
      </c>
      <c r="V31">
        <v>255448285</v>
      </c>
      <c r="W31">
        <v>1107802577.5595</v>
      </c>
      <c r="X31">
        <f>SUM($V$31+$W$31)</f>
        <v>1363250862.5595</v>
      </c>
      <c r="Y31">
        <v>344536488</v>
      </c>
      <c r="Z31">
        <v>1627383647.4191999</v>
      </c>
      <c r="AA31">
        <f>SUM($Y$31+$Z$31)</f>
        <v>1971920135.4191999</v>
      </c>
      <c r="AB31">
        <v>432096233</v>
      </c>
      <c r="AC31">
        <v>2166055206.4057002</v>
      </c>
      <c r="AD31">
        <f>SUM($AB$31+$AC$31)</f>
        <v>2598151439.4057002</v>
      </c>
    </row>
    <row r="32" spans="2:30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  <c r="S32">
        <v>113831010</v>
      </c>
      <c r="T32">
        <v>327810542.59800005</v>
      </c>
      <c r="U32">
        <f>SUM($S$32+$T$32)</f>
        <v>441641552.59800005</v>
      </c>
      <c r="V32">
        <v>118977085</v>
      </c>
      <c r="W32">
        <v>350958605.333</v>
      </c>
      <c r="X32">
        <f>SUM($V$32+$W$32)</f>
        <v>469935690.333</v>
      </c>
      <c r="Y32">
        <v>154897225</v>
      </c>
      <c r="Z32">
        <v>467170030.60000002</v>
      </c>
      <c r="AA32">
        <f>SUM($Y$32+$Z$32)</f>
        <v>622067255.60000002</v>
      </c>
      <c r="AB32">
        <v>171076805</v>
      </c>
      <c r="AC32">
        <v>527703512.70299995</v>
      </c>
      <c r="AD32">
        <f>SUM($AB$32+$AC$32)</f>
        <v>698780317.70299995</v>
      </c>
    </row>
    <row r="33" spans="2:30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  <c r="S33">
        <v>152322976</v>
      </c>
      <c r="T33">
        <v>577608724.99199998</v>
      </c>
      <c r="U33">
        <f>SUM($S$33+$T$33)</f>
        <v>729931700.99199998</v>
      </c>
      <c r="V33">
        <v>200644821</v>
      </c>
      <c r="W33">
        <v>806993470.06200004</v>
      </c>
      <c r="X33">
        <f>SUM($V$33+$W$33)</f>
        <v>1007638291.062</v>
      </c>
      <c r="Y33">
        <v>270487038</v>
      </c>
      <c r="Z33">
        <v>1115001668.0436001</v>
      </c>
      <c r="AA33">
        <f>SUM($Y$33+$Z$33)</f>
        <v>1385488706.0436001</v>
      </c>
      <c r="AB33">
        <v>346409578</v>
      </c>
      <c r="AC33">
        <v>1507331996.7514</v>
      </c>
      <c r="AD33">
        <f>SUM($AB$33+$AC$33)</f>
        <v>1853741574.7514</v>
      </c>
    </row>
    <row r="34" spans="2:30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  <c r="S34">
        <v>131899711</v>
      </c>
      <c r="T34">
        <v>409548602.65499997</v>
      </c>
      <c r="U34">
        <f>SUM($S$34+$T$34)</f>
        <v>541448313.65499997</v>
      </c>
      <c r="V34">
        <v>154309161</v>
      </c>
      <c r="W34">
        <v>491551832.36550003</v>
      </c>
      <c r="X34">
        <f>SUM($V$34+$W$34)</f>
        <v>645860993.36549997</v>
      </c>
      <c r="Y34">
        <v>193864959</v>
      </c>
      <c r="Z34">
        <v>637873874.5977</v>
      </c>
      <c r="AA34">
        <f>SUM($Y$34+$Z$34)</f>
        <v>831738833.5977</v>
      </c>
      <c r="AB34">
        <v>237595139</v>
      </c>
      <c r="AC34">
        <v>824407613.30220008</v>
      </c>
      <c r="AD34">
        <f>SUM($AB$34+$AC$34)</f>
        <v>1062002752.3022001</v>
      </c>
    </row>
    <row r="35" spans="2:30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  <c r="S35">
        <v>123182090</v>
      </c>
      <c r="T35">
        <v>292261826.73399997</v>
      </c>
      <c r="U35">
        <f>SUM($S$35+$T$35)</f>
        <v>415443916.73399997</v>
      </c>
      <c r="V35">
        <v>141496250</v>
      </c>
      <c r="W35">
        <v>342774665.625</v>
      </c>
      <c r="X35">
        <f>SUM($V$35+$W$35)</f>
        <v>484270915.625</v>
      </c>
      <c r="Y35">
        <v>168940098</v>
      </c>
      <c r="Z35">
        <v>420660844.01999998</v>
      </c>
      <c r="AA35">
        <f>SUM($Y$35+$Z$35)</f>
        <v>589600942.01999998</v>
      </c>
      <c r="AB35">
        <v>172492598</v>
      </c>
      <c r="AC35">
        <v>426574194.85400003</v>
      </c>
      <c r="AD35">
        <f>SUM($AB$35+$AC$35)</f>
        <v>599066792.85400009</v>
      </c>
    </row>
    <row r="36" spans="2:30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  <c r="S36">
        <v>162630452</v>
      </c>
      <c r="T36">
        <v>405177508.1128</v>
      </c>
      <c r="U36">
        <f>SUM($S$36+$T$36)</f>
        <v>567807960.1128</v>
      </c>
      <c r="V36">
        <v>203826049</v>
      </c>
      <c r="W36">
        <v>548883167.35210001</v>
      </c>
      <c r="X36">
        <f>SUM($V$36+$W$36)</f>
        <v>752709216.35210001</v>
      </c>
      <c r="Y36">
        <v>283835903</v>
      </c>
      <c r="Z36">
        <v>881509163.94709992</v>
      </c>
      <c r="AA36">
        <f>SUM($Y$36+$Z$36)</f>
        <v>1165345066.9470999</v>
      </c>
      <c r="AB36">
        <v>364660468</v>
      </c>
      <c r="AC36">
        <v>1253848553.1711998</v>
      </c>
      <c r="AD36">
        <f>SUM($AB$36+$AC$36)</f>
        <v>1618509021.1711998</v>
      </c>
    </row>
    <row r="37" spans="2:30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  <c r="S37">
        <v>138926486</v>
      </c>
      <c r="T37">
        <v>397093574.93379998</v>
      </c>
      <c r="U37">
        <f>SUM($S$37+$T$37)</f>
        <v>536020060.93379998</v>
      </c>
      <c r="V37">
        <v>145211791</v>
      </c>
      <c r="W37">
        <v>428519995.24100006</v>
      </c>
      <c r="X37">
        <f>SUM($V$37+$W$37)</f>
        <v>573731786.24100006</v>
      </c>
      <c r="Y37">
        <v>242430469</v>
      </c>
      <c r="Z37">
        <v>836069958.44029999</v>
      </c>
      <c r="AA37">
        <f>SUM($Y$37+$Z$37)</f>
        <v>1078500427.4403</v>
      </c>
      <c r="AB37">
        <v>325639269</v>
      </c>
      <c r="AC37">
        <v>1314345217.5378001</v>
      </c>
      <c r="AD37">
        <f>SUM($AB$37+$AC$37)</f>
        <v>1639984486.5378001</v>
      </c>
    </row>
    <row r="38" spans="2:30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  <c r="S38">
        <v>164863196</v>
      </c>
      <c r="T38">
        <v>525072792.9404</v>
      </c>
      <c r="U38">
        <f>SUM($S$38+$T$38)</f>
        <v>689935988.9404</v>
      </c>
      <c r="V38">
        <v>205923825</v>
      </c>
      <c r="W38">
        <v>685705744.86750007</v>
      </c>
      <c r="X38">
        <f>SUM($V$38+$W$38)</f>
        <v>891629569.86750007</v>
      </c>
      <c r="Y38">
        <v>263884978</v>
      </c>
      <c r="Z38">
        <v>933150059.20360005</v>
      </c>
      <c r="AA38">
        <f>SUM($Y$38+$Z$38)</f>
        <v>1197035037.2035999</v>
      </c>
      <c r="AB38">
        <v>294803968</v>
      </c>
      <c r="AC38">
        <v>1077213699.072</v>
      </c>
      <c r="AD38">
        <f>SUM($AB$38+$AC$38)</f>
        <v>1372017667.072</v>
      </c>
    </row>
    <row r="39" spans="2:30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  <c r="S39">
        <v>91360730</v>
      </c>
      <c r="T39">
        <v>202501058.04500002</v>
      </c>
      <c r="U39">
        <f>SUM($S$39+$T$39)</f>
        <v>293861788.04500002</v>
      </c>
      <c r="V39">
        <v>78820470</v>
      </c>
      <c r="W39">
        <v>172766588.19299999</v>
      </c>
      <c r="X39">
        <f>SUM($V$39+$W$39)</f>
        <v>251587058.19299999</v>
      </c>
      <c r="Y39">
        <v>105166893</v>
      </c>
      <c r="Z39">
        <v>248835385.5273</v>
      </c>
      <c r="AA39">
        <f>SUM($Y$39+$Z$39)</f>
        <v>354002278.5273</v>
      </c>
      <c r="AB39">
        <v>208037068</v>
      </c>
      <c r="AC39">
        <v>575284904.14039993</v>
      </c>
      <c r="AD39">
        <f>SUM($AB$39+$AC$39)</f>
        <v>783321972.14039993</v>
      </c>
    </row>
    <row r="40" spans="2:30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  <c r="S40">
        <v>81969801</v>
      </c>
      <c r="T40">
        <v>175185858.6972</v>
      </c>
      <c r="U40">
        <f>SUM($S$40+$T$40)</f>
        <v>257155659.6972</v>
      </c>
      <c r="V40">
        <v>88173576</v>
      </c>
      <c r="W40">
        <v>196071580.95120001</v>
      </c>
      <c r="X40">
        <f>SUM($V$40+$W$40)</f>
        <v>284245156.95120001</v>
      </c>
      <c r="Y40">
        <v>94981286</v>
      </c>
      <c r="Z40">
        <v>219036343.6446</v>
      </c>
      <c r="AA40">
        <f>SUM($Y$40+$Z$40)</f>
        <v>314017629.64460003</v>
      </c>
      <c r="AB40">
        <v>97904311</v>
      </c>
      <c r="AC40">
        <v>227275067.55539998</v>
      </c>
      <c r="AD40">
        <f>SUM($AB$40+$AC$40)</f>
        <v>325179378.55540001</v>
      </c>
    </row>
    <row r="41" spans="2:30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  <c r="S41">
        <v>172931681</v>
      </c>
      <c r="T41">
        <v>619043538.47570002</v>
      </c>
      <c r="U41">
        <f>SUM($S$41+$T$41)</f>
        <v>791975219.47570002</v>
      </c>
      <c r="V41">
        <v>226284595</v>
      </c>
      <c r="W41">
        <v>860877113.21800005</v>
      </c>
      <c r="X41">
        <f>SUM($V$41+$W$41)</f>
        <v>1087161708.2179999</v>
      </c>
      <c r="Y41">
        <v>285612368</v>
      </c>
      <c r="Z41">
        <v>1103063526.4528</v>
      </c>
      <c r="AA41">
        <f>SUM($Y$41+$Z$41)</f>
        <v>1388675894.4528</v>
      </c>
      <c r="AB41">
        <v>403024608</v>
      </c>
      <c r="AC41">
        <v>1938064734.9503999</v>
      </c>
      <c r="AD41">
        <f>SUM($AB$41+$AC$41)</f>
        <v>2341089342.9503999</v>
      </c>
    </row>
    <row r="42" spans="2:30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  <c r="S42">
        <v>59611695</v>
      </c>
      <c r="T42">
        <v>119610866.0175</v>
      </c>
      <c r="U42">
        <f>SUM($S$42+$T$42)</f>
        <v>179222561.01749998</v>
      </c>
      <c r="V42">
        <v>66174585</v>
      </c>
      <c r="W42">
        <v>136187295.93000001</v>
      </c>
      <c r="X42">
        <f>SUM($V$42+$W$42)</f>
        <v>202361880.93000001</v>
      </c>
      <c r="Y42">
        <v>101207112</v>
      </c>
      <c r="Z42">
        <v>215156199.40079999</v>
      </c>
      <c r="AA42">
        <f>SUM($Y$42+$Z$42)</f>
        <v>316363311.40079999</v>
      </c>
      <c r="AB42">
        <v>161904345</v>
      </c>
      <c r="AC42">
        <v>382677109.84200001</v>
      </c>
      <c r="AD42">
        <f>SUM($AB$42+$AC$42)</f>
        <v>544581454.84200001</v>
      </c>
    </row>
    <row r="43" spans="2:30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  <c r="S43">
        <v>80245986</v>
      </c>
      <c r="T43">
        <v>140783557.83840001</v>
      </c>
      <c r="U43">
        <f>SUM($S$43+$T$43)</f>
        <v>221029543.83840001</v>
      </c>
      <c r="V43">
        <v>92260046</v>
      </c>
      <c r="W43">
        <v>179371981.4332</v>
      </c>
      <c r="X43">
        <f>SUM($V$43+$W$43)</f>
        <v>271632027.4332</v>
      </c>
      <c r="Y43">
        <v>158238974</v>
      </c>
      <c r="Z43">
        <v>365959275.16980004</v>
      </c>
      <c r="AA43">
        <f>SUM($Y$43+$Z$43)</f>
        <v>524198249.16980004</v>
      </c>
      <c r="AB43">
        <v>195016409</v>
      </c>
      <c r="AC43">
        <v>525959255.07299995</v>
      </c>
      <c r="AD43">
        <f>SUM($AB$43+$AC$43)</f>
        <v>720975664.07299995</v>
      </c>
    </row>
    <row r="44" spans="2:30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  <c r="S44">
        <v>73083046</v>
      </c>
      <c r="T44">
        <v>123042616.24560001</v>
      </c>
      <c r="U44">
        <f>SUM($S$44+$T$44)</f>
        <v>196125662.24560001</v>
      </c>
      <c r="V44">
        <v>80441231</v>
      </c>
      <c r="W44">
        <v>146362819.80449998</v>
      </c>
      <c r="X44">
        <f>SUM($V$44+$W$44)</f>
        <v>226804050.80449998</v>
      </c>
      <c r="Y44">
        <v>97480604</v>
      </c>
      <c r="Z44">
        <v>194376324.37600002</v>
      </c>
      <c r="AA44">
        <f>SUM($Y$44+$Z$44)</f>
        <v>291856928.37600005</v>
      </c>
      <c r="AB44">
        <v>114730094</v>
      </c>
      <c r="AC44">
        <v>238455027.3696</v>
      </c>
      <c r="AD44">
        <f>SUM($AB$44+$AC$44)</f>
        <v>353185121.3696</v>
      </c>
    </row>
    <row r="45" spans="2:30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  <c r="S45">
        <v>44277676</v>
      </c>
      <c r="T45">
        <v>49338614.366800003</v>
      </c>
      <c r="U45">
        <f>SUM($S$45+$T$45)</f>
        <v>93616290.36680001</v>
      </c>
      <c r="V45">
        <v>47786576</v>
      </c>
      <c r="W45">
        <v>52221170.252800003</v>
      </c>
      <c r="X45">
        <f>SUM($V$45+$W$45)</f>
        <v>100007746.2528</v>
      </c>
      <c r="Y45">
        <v>48601701</v>
      </c>
      <c r="Z45">
        <v>54326981.377800003</v>
      </c>
      <c r="AA45">
        <f>SUM($Y$45+$Z$45)</f>
        <v>102928682.3778</v>
      </c>
      <c r="AB45">
        <v>57341445</v>
      </c>
      <c r="AC45">
        <v>66900263.881499998</v>
      </c>
      <c r="AD45">
        <f>SUM($AB$45+$AC$45)</f>
        <v>124241708.88150001</v>
      </c>
    </row>
    <row r="46" spans="2:30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  <c r="S46">
        <v>81396820</v>
      </c>
      <c r="T46">
        <v>173236852.00600001</v>
      </c>
      <c r="U46">
        <f>SUM($S$46+$T$46)</f>
        <v>254633672.00600001</v>
      </c>
      <c r="V46">
        <v>94661260</v>
      </c>
      <c r="W46">
        <v>203171462.338</v>
      </c>
      <c r="X46">
        <f>SUM($V$46+$W$46)</f>
        <v>297832722.338</v>
      </c>
      <c r="Y46">
        <v>118741225</v>
      </c>
      <c r="Z46">
        <v>272309251.29250002</v>
      </c>
      <c r="AA46">
        <f>SUM($Y$46+$Z$46)</f>
        <v>391050476.29250002</v>
      </c>
      <c r="AB46">
        <v>139165210</v>
      </c>
      <c r="AC46">
        <v>321847381.167</v>
      </c>
      <c r="AD46">
        <f>SUM($AB$46+$AC$46)</f>
        <v>461012591.167</v>
      </c>
    </row>
    <row r="47" spans="2:30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  <c r="S47">
        <v>28123061</v>
      </c>
      <c r="T47">
        <v>29287355.725400001</v>
      </c>
      <c r="U47">
        <f>SUM($S$47+$T$47)</f>
        <v>57410416.725400001</v>
      </c>
      <c r="V47">
        <v>29631626</v>
      </c>
      <c r="W47">
        <v>36355041.939400002</v>
      </c>
      <c r="X47">
        <f>SUM($V$47+$W$47)</f>
        <v>65986667.939400002</v>
      </c>
      <c r="Y47">
        <v>35328199</v>
      </c>
      <c r="Z47">
        <v>45477990.572699994</v>
      </c>
      <c r="AA47">
        <f>SUM($Y$47+$Z$47)</f>
        <v>80806189.572699994</v>
      </c>
      <c r="AB47">
        <v>55037054</v>
      </c>
      <c r="AC47">
        <v>76198801.262999997</v>
      </c>
      <c r="AD47">
        <f>SUM($AB$47+$AC$47)</f>
        <v>131235855.263</v>
      </c>
    </row>
    <row r="48" spans="2:30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  <c r="S48">
        <v>100491600</v>
      </c>
      <c r="T48">
        <v>207505104.84</v>
      </c>
      <c r="U48">
        <f>SUM($S$48+$T$48)</f>
        <v>307996704.84000003</v>
      </c>
      <c r="V48">
        <v>116719990</v>
      </c>
      <c r="W48">
        <v>259842041.73800001</v>
      </c>
      <c r="X48">
        <f>SUM($V$48+$W$48)</f>
        <v>376562031.73800004</v>
      </c>
      <c r="Y48">
        <v>128576113</v>
      </c>
      <c r="Z48">
        <v>299093754.06059998</v>
      </c>
      <c r="AA48">
        <f>SUM($Y$48+$Z$48)</f>
        <v>427669867.06059998</v>
      </c>
      <c r="AB48">
        <v>153274103</v>
      </c>
      <c r="AC48">
        <v>373314405.26679999</v>
      </c>
      <c r="AD48">
        <f>SUM($AB$48+$AC$48)</f>
        <v>526588508.26679999</v>
      </c>
    </row>
    <row r="49" spans="2:30">
      <c r="B49" s="3" t="s">
        <v>56</v>
      </c>
      <c r="C49" t="s">
        <v>55</v>
      </c>
      <c r="D49">
        <v>18010345</v>
      </c>
      <c r="E49">
        <v>9482446.6425000001</v>
      </c>
      <c r="F49">
        <f>SUM($D$49+$E$49)</f>
        <v>27492791.642499998</v>
      </c>
      <c r="G49">
        <v>18010345</v>
      </c>
      <c r="H49">
        <v>9482446.6425000001</v>
      </c>
      <c r="I49">
        <f>SUM($G$49+$H$49)</f>
        <v>27492791.642499998</v>
      </c>
      <c r="J49">
        <v>17876245</v>
      </c>
      <c r="K49">
        <v>10575586.541999999</v>
      </c>
      <c r="L49">
        <f>SUM($J$49+$K$49)</f>
        <v>28451831.541999999</v>
      </c>
      <c r="M49">
        <v>17876245</v>
      </c>
      <c r="N49">
        <v>10575586.541999999</v>
      </c>
      <c r="O49">
        <f>SUM($M$49+$N$49)</f>
        <v>28451831.541999999</v>
      </c>
      <c r="P49">
        <v>17941810</v>
      </c>
      <c r="Q49">
        <v>10614374.796</v>
      </c>
      <c r="R49">
        <f>SUM($P$49+$Q$49)</f>
        <v>28556184.796</v>
      </c>
      <c r="S49">
        <v>21216385</v>
      </c>
      <c r="T49">
        <v>16644254.032500001</v>
      </c>
      <c r="U49">
        <f>SUM($S$49+$T$49)</f>
        <v>37860639.032499999</v>
      </c>
      <c r="V49">
        <v>27084435</v>
      </c>
      <c r="W49">
        <v>24722672.267999999</v>
      </c>
      <c r="X49">
        <f>SUM($V$49+$W$49)</f>
        <v>51807107.267999999</v>
      </c>
      <c r="Y49">
        <v>27084435</v>
      </c>
      <c r="Z49">
        <v>24722672.267999999</v>
      </c>
      <c r="AA49">
        <f>SUM($Y$49+$Z$49)</f>
        <v>51807107.267999999</v>
      </c>
      <c r="AB49">
        <v>27084435</v>
      </c>
      <c r="AC49">
        <v>24722672.267999999</v>
      </c>
      <c r="AD49">
        <f>SUM($AB$49+$AC$49)</f>
        <v>51807107.267999999</v>
      </c>
    </row>
    <row r="50" spans="2:30">
      <c r="B50" t="s">
        <v>128</v>
      </c>
      <c r="C50" t="s">
        <v>129</v>
      </c>
      <c r="D50">
        <v>16530145</v>
      </c>
      <c r="E50">
        <v>4833414.398</v>
      </c>
      <c r="F50">
        <f>SUM($D$50+$E$50)</f>
        <v>21363559.398000002</v>
      </c>
      <c r="G50">
        <v>16662585</v>
      </c>
      <c r="H50">
        <v>5551973.3219999997</v>
      </c>
      <c r="I50">
        <f>SUM($G$50+$H$50)</f>
        <v>22214558.322000001</v>
      </c>
      <c r="J50">
        <v>17778105</v>
      </c>
      <c r="K50">
        <v>7921923.5880000005</v>
      </c>
      <c r="L50">
        <f>SUM($J$50+$K$50)</f>
        <v>25700028.588</v>
      </c>
      <c r="M50">
        <v>18452805</v>
      </c>
      <c r="N50">
        <v>8025124.8945000004</v>
      </c>
      <c r="O50">
        <f>SUM($M$50+$N$50)</f>
        <v>26477929.894500002</v>
      </c>
      <c r="P50">
        <v>20288605</v>
      </c>
      <c r="Q50">
        <v>9077121.8770000003</v>
      </c>
      <c r="R50">
        <f>SUM($P$50+$Q$50)</f>
        <v>29365726.877</v>
      </c>
      <c r="S50">
        <v>25624200</v>
      </c>
      <c r="T50">
        <v>14229118.26</v>
      </c>
      <c r="U50">
        <f>SUM($S$50+$T$50)</f>
        <v>39853318.259999998</v>
      </c>
      <c r="V50">
        <v>24348815</v>
      </c>
      <c r="W50">
        <v>13496548.1545</v>
      </c>
      <c r="X50">
        <f>SUM($V$50+$W$50)</f>
        <v>37845363.1545</v>
      </c>
      <c r="Y50">
        <v>63610535</v>
      </c>
      <c r="Z50">
        <v>42358255.256500006</v>
      </c>
      <c r="AA50">
        <f>SUM($Y$50+$Z$50)</f>
        <v>105968790.25650001</v>
      </c>
      <c r="AB50">
        <v>74772910</v>
      </c>
      <c r="AC50">
        <v>57246139.896000005</v>
      </c>
      <c r="AD50">
        <f>SUM($AB$50+$AC$50)</f>
        <v>132019049.896</v>
      </c>
    </row>
    <row r="51" spans="2:30">
      <c r="B51" t="s">
        <v>151</v>
      </c>
      <c r="C51" t="s">
        <v>145</v>
      </c>
      <c r="D51">
        <v>17987575</v>
      </c>
      <c r="E51">
        <v>7047531.8849999998</v>
      </c>
      <c r="F51">
        <f>SUM($D$51+$E$51)</f>
        <v>25035106.884999998</v>
      </c>
      <c r="G51">
        <v>24662120</v>
      </c>
      <c r="H51">
        <v>14015482.796</v>
      </c>
      <c r="I51">
        <f>SUM($G$51+$H$51)</f>
        <v>38677602.796000004</v>
      </c>
      <c r="J51">
        <v>37466065</v>
      </c>
      <c r="K51">
        <v>33625793.337499999</v>
      </c>
      <c r="L51">
        <f>SUM($J$51+$K$51)</f>
        <v>71091858.337500006</v>
      </c>
      <c r="M51">
        <v>38949680</v>
      </c>
      <c r="N51">
        <v>35541583</v>
      </c>
      <c r="O51">
        <f>SUM($M$51+$N$51)</f>
        <v>74491263</v>
      </c>
      <c r="P51">
        <v>57556360</v>
      </c>
      <c r="Q51">
        <v>55110214.700000003</v>
      </c>
      <c r="R51">
        <f>SUM($P$51+$Q$51)</f>
        <v>112666574.7</v>
      </c>
      <c r="S51">
        <v>74634197</v>
      </c>
      <c r="T51">
        <v>88807231.010299996</v>
      </c>
      <c r="U51">
        <f>SUM($S$51+$T$51)</f>
        <v>163441428.01029998</v>
      </c>
      <c r="V51">
        <v>82426798</v>
      </c>
      <c r="W51">
        <v>110649733.63520001</v>
      </c>
      <c r="X51">
        <f>SUM($V$51+$W$51)</f>
        <v>193076531.63520002</v>
      </c>
      <c r="Y51">
        <v>143702874</v>
      </c>
      <c r="Z51">
        <v>246996499.8312</v>
      </c>
      <c r="AA51">
        <f>SUM($Y$51+$Z$51)</f>
        <v>390699373.8312</v>
      </c>
      <c r="AB51">
        <v>183361543</v>
      </c>
      <c r="AC51">
        <v>336505103.71360004</v>
      </c>
      <c r="AD51">
        <f>SUM($AB$51+$AC$51)</f>
        <v>519866646.71360004</v>
      </c>
    </row>
    <row r="52" spans="2:30">
      <c r="B52" s="2" t="s">
        <v>62</v>
      </c>
      <c r="C52" t="s">
        <v>61</v>
      </c>
      <c r="D52">
        <v>9221571</v>
      </c>
      <c r="E52">
        <v>2750794.6292999997</v>
      </c>
      <c r="F52">
        <f>SUM($D$52+$E$52)</f>
        <v>11972365.6293</v>
      </c>
      <c r="G52">
        <v>21994581</v>
      </c>
      <c r="H52">
        <v>10361647.109099999</v>
      </c>
      <c r="I52">
        <f>SUM($G$52+$H$52)</f>
        <v>32356228.109099999</v>
      </c>
      <c r="J52">
        <v>20183871</v>
      </c>
      <c r="K52">
        <v>16094618.735399999</v>
      </c>
      <c r="L52">
        <f>SUM($J$52+$K$52)</f>
        <v>36278489.735399999</v>
      </c>
      <c r="M52">
        <v>21684496</v>
      </c>
      <c r="N52">
        <v>18071858.966400001</v>
      </c>
      <c r="O52">
        <f>SUM($M$52+$N$52)</f>
        <v>39756354.966399997</v>
      </c>
      <c r="P52">
        <v>28847361</v>
      </c>
      <c r="Q52">
        <v>29666626.0524</v>
      </c>
      <c r="R52">
        <f>SUM($P$52+$Q$52)</f>
        <v>58513987.0524</v>
      </c>
      <c r="S52">
        <v>51384956</v>
      </c>
      <c r="T52">
        <v>74631510.094400004</v>
      </c>
      <c r="U52">
        <f>SUM($S$52+$T$52)</f>
        <v>126016466.0944</v>
      </c>
      <c r="V52">
        <v>60932841</v>
      </c>
      <c r="W52">
        <v>94141239.344999999</v>
      </c>
      <c r="X52">
        <f>SUM($V$52+$W$52)</f>
        <v>155074080.345</v>
      </c>
      <c r="Y52">
        <v>102725303</v>
      </c>
      <c r="Z52">
        <v>166127360.01159999</v>
      </c>
      <c r="AA52">
        <f>SUM($Y$52+$Z$52)</f>
        <v>268852663.01160002</v>
      </c>
      <c r="AB52">
        <v>112151993</v>
      </c>
      <c r="AC52">
        <v>177245009.73719999</v>
      </c>
      <c r="AD52">
        <f>SUM($AB$52+$AC$52)</f>
        <v>289397002.73720002</v>
      </c>
    </row>
    <row r="53" spans="2:30">
      <c r="B53" t="s">
        <v>167</v>
      </c>
      <c r="C53" t="s">
        <v>168</v>
      </c>
      <c r="D53">
        <v>44644000</v>
      </c>
      <c r="E53">
        <v>47626529.171199992</v>
      </c>
      <c r="F53">
        <f>SUM($D$53+$E$53)</f>
        <v>92270529.171199992</v>
      </c>
      <c r="G53">
        <v>49081696</v>
      </c>
      <c r="H53">
        <v>58466116.275200002</v>
      </c>
      <c r="I53">
        <f>SUM($G$53+$H$53)</f>
        <v>107547812.27520001</v>
      </c>
      <c r="J53">
        <v>46505356</v>
      </c>
      <c r="K53">
        <v>82137759.767200008</v>
      </c>
      <c r="L53">
        <f>SUM($J$53+$K$53)</f>
        <v>128643115.76720001</v>
      </c>
      <c r="M53">
        <v>55580356</v>
      </c>
      <c r="N53">
        <v>102612453.2472</v>
      </c>
      <c r="O53">
        <f>SUM($M$53+$N$53)</f>
        <v>158192809.24720001</v>
      </c>
      <c r="P53">
        <v>80657156</v>
      </c>
      <c r="Q53">
        <v>170928644.99519998</v>
      </c>
      <c r="R53">
        <f>SUM($P$53+$Q$53)</f>
        <v>251585800.99519998</v>
      </c>
      <c r="S53">
        <v>117231051</v>
      </c>
      <c r="T53">
        <v>318153349.3089</v>
      </c>
      <c r="U53">
        <f>SUM($S$53+$T$53)</f>
        <v>435384400.3089</v>
      </c>
      <c r="V53">
        <v>137147746</v>
      </c>
      <c r="W53">
        <v>403008651.62100005</v>
      </c>
      <c r="X53">
        <f>SUM($V$53+$W$53)</f>
        <v>540156397.62100005</v>
      </c>
      <c r="Y53">
        <v>210705186</v>
      </c>
      <c r="Z53">
        <v>735993214.69800007</v>
      </c>
      <c r="AA53">
        <f>SUM($Y$53+$Z$53)</f>
        <v>946698400.69800007</v>
      </c>
      <c r="AB53">
        <v>280430335</v>
      </c>
      <c r="AC53">
        <v>1063532045.4875</v>
      </c>
      <c r="AD53">
        <f>SUM($AB$53+$AC$53)</f>
        <v>1343962380.4875</v>
      </c>
    </row>
    <row r="54" spans="2:30">
      <c r="B54" s="1" t="s">
        <v>171</v>
      </c>
      <c r="C54" t="s">
        <v>172</v>
      </c>
      <c r="D54">
        <v>190871958</v>
      </c>
      <c r="E54">
        <v>848540376.48479998</v>
      </c>
      <c r="F54">
        <f>SUM($P$54+$Q$54)</f>
        <v>1039412334.4848</v>
      </c>
      <c r="G54">
        <v>190871958</v>
      </c>
      <c r="H54">
        <v>848540376.48479998</v>
      </c>
      <c r="I54">
        <f>SUM($P$54+$Q$54)</f>
        <v>1039412334.4848</v>
      </c>
      <c r="J54">
        <v>190871958</v>
      </c>
      <c r="K54">
        <v>848540376.48479998</v>
      </c>
      <c r="L54">
        <f>SUM($P$54+$Q$54)</f>
        <v>1039412334.4848</v>
      </c>
      <c r="M54">
        <v>190871958</v>
      </c>
      <c r="N54">
        <v>848540376.48479998</v>
      </c>
      <c r="O54">
        <f>SUM($P$54+$Q$54)</f>
        <v>1039412334.4848</v>
      </c>
      <c r="P54">
        <v>190871958</v>
      </c>
      <c r="Q54">
        <v>848540376.48479998</v>
      </c>
      <c r="R54">
        <f>SUM($P$54+$Q$54)</f>
        <v>1039412334.4848</v>
      </c>
      <c r="S54">
        <v>236439002</v>
      </c>
      <c r="T54">
        <v>1135049073.0012</v>
      </c>
      <c r="U54">
        <f>SUM($S$54+$T$54)</f>
        <v>1371488075.0012</v>
      </c>
      <c r="V54">
        <v>270084962</v>
      </c>
      <c r="W54">
        <v>1342970465.0488</v>
      </c>
      <c r="X54">
        <f>SUM($V$54+$W$54)</f>
        <v>1613055427.0488</v>
      </c>
      <c r="Y54">
        <v>351370430</v>
      </c>
      <c r="Z54">
        <v>1842656809.0059998</v>
      </c>
      <c r="AA54">
        <f>SUM($Y$54+$Z$54)</f>
        <v>2194027239.0059996</v>
      </c>
      <c r="AB54">
        <v>428707757</v>
      </c>
      <c r="AC54">
        <v>2421298540.7602997</v>
      </c>
      <c r="AD54">
        <f>SUM($AB$54+$AC$54)</f>
        <v>2850006297.7602997</v>
      </c>
    </row>
    <row r="55" spans="2:30">
      <c r="B55" t="s">
        <v>175</v>
      </c>
      <c r="C55" t="s">
        <v>174</v>
      </c>
      <c r="D55">
        <v>558794398</v>
      </c>
      <c r="E55">
        <v>4626761736.0002003</v>
      </c>
      <c r="F55">
        <f>SUM($D$55+$E$55)</f>
        <v>5185556134.0002003</v>
      </c>
      <c r="G55">
        <v>558794398</v>
      </c>
      <c r="H55">
        <v>4626761736.0002003</v>
      </c>
      <c r="I55">
        <f t="shared" ref="I55" si="0">SUM($D$55+$E$55)</f>
        <v>5185556134.0002003</v>
      </c>
      <c r="J55">
        <v>558794398</v>
      </c>
      <c r="K55">
        <v>4626761736.0002003</v>
      </c>
      <c r="L55">
        <f t="shared" ref="L55" si="1">SUM($D$55+$E$55)</f>
        <v>5185556134.0002003</v>
      </c>
      <c r="M55">
        <v>558794398</v>
      </c>
      <c r="N55">
        <v>4626761736.0002003</v>
      </c>
      <c r="O55">
        <f t="shared" ref="O55" si="2">SUM($D$55+$E$55)</f>
        <v>5185556134.0002003</v>
      </c>
      <c r="P55">
        <v>558794398</v>
      </c>
      <c r="Q55">
        <v>4626761736.0002003</v>
      </c>
      <c r="R55">
        <f t="shared" ref="R55" si="3">SUM($D$55+$E$55)</f>
        <v>5185556134.0002003</v>
      </c>
      <c r="S55">
        <v>558794398</v>
      </c>
      <c r="T55">
        <v>4626761736.0002003</v>
      </c>
      <c r="U55">
        <f t="shared" ref="U55" si="4">SUM($D$55+$E$55)</f>
        <v>5185556134.0002003</v>
      </c>
      <c r="V55">
        <v>558794398</v>
      </c>
      <c r="W55">
        <v>4626761736.0002003</v>
      </c>
      <c r="X55">
        <f t="shared" ref="X55" si="5">SUM($D$55+$E$55)</f>
        <v>5185556134.0002003</v>
      </c>
      <c r="Y55">
        <v>558794398</v>
      </c>
      <c r="Z55">
        <v>4626761736.0002003</v>
      </c>
      <c r="AA55">
        <f t="shared" ref="AA55" si="6">SUM($D$55+$E$55)</f>
        <v>5185556134.0002003</v>
      </c>
      <c r="AB55">
        <v>730458718</v>
      </c>
      <c r="AC55">
        <v>6339212938.2912006</v>
      </c>
      <c r="AD55">
        <f>SUM($AB$55+$AC$55)</f>
        <v>7069671656.2912006</v>
      </c>
    </row>
    <row r="56" spans="2:30">
      <c r="B56" t="s">
        <v>198</v>
      </c>
      <c r="C56" t="s">
        <v>199</v>
      </c>
      <c r="D56">
        <v>232963725</v>
      </c>
      <c r="E56">
        <v>329806745.48249996</v>
      </c>
      <c r="F56">
        <f>SUM($D$56+$E$56)</f>
        <v>562770470.48249996</v>
      </c>
      <c r="G56">
        <v>232963725</v>
      </c>
      <c r="H56">
        <v>329806745.48249996</v>
      </c>
      <c r="I56">
        <f>SUM($D$56+$E$56)</f>
        <v>562770470.48249996</v>
      </c>
      <c r="J56">
        <v>232963725</v>
      </c>
      <c r="K56">
        <v>329806745.48249996</v>
      </c>
      <c r="L56">
        <f>SUM($D$56+$E$56)</f>
        <v>562770470.48249996</v>
      </c>
      <c r="M56">
        <v>232963725</v>
      </c>
      <c r="N56">
        <v>329806745.48249996</v>
      </c>
      <c r="O56">
        <f>SUM($D$56+$E$56)</f>
        <v>562770470.48249996</v>
      </c>
      <c r="P56">
        <v>232963725</v>
      </c>
      <c r="Q56">
        <v>329806745.48249996</v>
      </c>
      <c r="R56">
        <f>SUM($D$56+$E$56)</f>
        <v>562770470.48249996</v>
      </c>
      <c r="S56">
        <v>232963725</v>
      </c>
      <c r="T56">
        <v>329806745.48249996</v>
      </c>
      <c r="U56">
        <f>SUM($D$56+$E$56)</f>
        <v>562770470.48249996</v>
      </c>
      <c r="V56">
        <v>232963725</v>
      </c>
      <c r="W56">
        <v>329806745.48249996</v>
      </c>
      <c r="X56">
        <f>SUM($D$56+$E$56)</f>
        <v>562770470.48249996</v>
      </c>
      <c r="Y56">
        <v>232963725</v>
      </c>
      <c r="Z56">
        <v>329806745.48249996</v>
      </c>
      <c r="AA56">
        <f>SUM($D$56+$E$56)</f>
        <v>562770470.48249996</v>
      </c>
      <c r="AB56">
        <v>232963725</v>
      </c>
      <c r="AC56">
        <v>329806745.48249996</v>
      </c>
      <c r="AD56">
        <f>SUM($D$56+$E$56)</f>
        <v>562770470.48249996</v>
      </c>
    </row>
    <row r="57" spans="2:30">
      <c r="S57" s="16"/>
      <c r="T57" s="17"/>
      <c r="U57" s="17"/>
      <c r="AD57" s="17"/>
    </row>
    <row r="58" spans="2:30">
      <c r="F58" s="5"/>
      <c r="J58" s="5"/>
      <c r="K58" s="5"/>
      <c r="L58" s="5"/>
      <c r="S58" s="5"/>
      <c r="U58" s="5"/>
      <c r="AB58" s="5"/>
      <c r="AD58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197</v>
      </c>
      <c r="B2" s="8" t="s">
        <v>198</v>
      </c>
    </row>
    <row r="3" spans="1:2" ht="21">
      <c r="A3" s="9"/>
      <c r="B3" s="10"/>
    </row>
    <row r="4" spans="1:2" ht="21">
      <c r="A4" s="9"/>
      <c r="B4" s="10"/>
    </row>
    <row r="5" spans="1:2" ht="21">
      <c r="A5" s="9"/>
      <c r="B5" s="11"/>
    </row>
    <row r="6" spans="1:2" ht="21">
      <c r="A6" s="9"/>
      <c r="B6" s="11"/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198</v>
      </c>
      <c r="B2" s="14">
        <v>406944022.04479998</v>
      </c>
      <c r="L2" s="4"/>
      <c r="O2" s="4"/>
      <c r="R2" s="4"/>
      <c r="U2" s="4"/>
    </row>
    <row r="3" spans="1:21" ht="21">
      <c r="A3" s="9"/>
      <c r="B3" s="11"/>
    </row>
    <row r="4" spans="1:21" ht="21">
      <c r="A4" s="9"/>
      <c r="B4" s="11"/>
    </row>
    <row r="5" spans="1:21" ht="21">
      <c r="A5" s="9"/>
      <c r="B5" s="11"/>
    </row>
    <row r="6" spans="1:21" ht="21">
      <c r="A6" s="9"/>
      <c r="B6" s="11"/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K23"/>
  <sheetViews>
    <sheetView zoomScale="140" zoomScaleNormal="140" workbookViewId="0">
      <selection activeCell="K6" sqref="K6"/>
    </sheetView>
  </sheetViews>
  <sheetFormatPr defaultRowHeight="21"/>
  <cols>
    <col min="1" max="1" width="10" style="19" bestFit="1" customWidth="1"/>
    <col min="2" max="2" width="23.28515625" style="19" bestFit="1" customWidth="1"/>
    <col min="3" max="3" width="27.42578125" style="19" bestFit="1" customWidth="1"/>
    <col min="4" max="4" width="24.85546875" style="19" bestFit="1" customWidth="1"/>
    <col min="5" max="5" width="12.28515625" style="19" bestFit="1" customWidth="1"/>
    <col min="6" max="6" width="29" style="19" bestFit="1" customWidth="1"/>
    <col min="7" max="7" width="13" style="19" bestFit="1" customWidth="1"/>
    <col min="8" max="8" width="1.5703125" style="19" customWidth="1"/>
    <col min="9" max="9" width="8.42578125" style="19" bestFit="1" customWidth="1"/>
    <col min="10" max="10" width="8.28515625" style="19" bestFit="1" customWidth="1"/>
    <col min="11" max="11" width="27.42578125" style="19" bestFit="1" customWidth="1"/>
    <col min="12" max="12" width="11.42578125" style="19" bestFit="1" customWidth="1"/>
    <col min="13" max="13" width="12.28515625" style="19" bestFit="1" customWidth="1"/>
    <col min="14" max="14" width="27.42578125" style="19" bestFit="1" customWidth="1"/>
    <col min="15" max="15" width="13" style="19" bestFit="1" customWidth="1"/>
    <col min="16" max="16384" width="9.140625" style="19"/>
  </cols>
  <sheetData>
    <row r="1" spans="1:11">
      <c r="B1" s="20" t="s">
        <v>176</v>
      </c>
      <c r="C1" s="21" t="s">
        <v>177</v>
      </c>
      <c r="D1" s="21" t="s">
        <v>178</v>
      </c>
      <c r="E1" s="22" t="s">
        <v>180</v>
      </c>
      <c r="F1" s="20" t="s">
        <v>179</v>
      </c>
      <c r="G1" s="22" t="s">
        <v>180</v>
      </c>
    </row>
    <row r="2" spans="1:11">
      <c r="A2" s="23">
        <v>45566</v>
      </c>
      <c r="B2" s="24">
        <v>8817782992</v>
      </c>
      <c r="C2" s="24">
        <v>45641176053.729271</v>
      </c>
      <c r="D2" s="24">
        <v>54458959045.729271</v>
      </c>
      <c r="E2" s="22"/>
      <c r="F2" s="25"/>
      <c r="G2" s="22"/>
      <c r="K2" s="48"/>
    </row>
    <row r="3" spans="1:11">
      <c r="A3" s="30">
        <v>45599</v>
      </c>
      <c r="B3" s="31">
        <v>12251953579</v>
      </c>
      <c r="C3" s="31">
        <v>72412119703.697403</v>
      </c>
      <c r="D3" s="31">
        <v>84664073282.697403</v>
      </c>
      <c r="E3" s="32">
        <f>(D3/D2)-1</f>
        <v>0.554639948435387</v>
      </c>
      <c r="F3" s="31">
        <f>C20</f>
        <v>9367388175111</v>
      </c>
      <c r="G3" s="33"/>
      <c r="K3" s="48"/>
    </row>
    <row r="4" spans="1:11">
      <c r="A4" s="37">
        <v>45627</v>
      </c>
      <c r="B4" s="38">
        <v>20311041254</v>
      </c>
      <c r="C4" s="38">
        <v>130331898314.60237</v>
      </c>
      <c r="D4" s="38">
        <v>150642939568.60236</v>
      </c>
      <c r="E4" s="39">
        <f>(D4/D3)-1</f>
        <v>0.77930181867813464</v>
      </c>
      <c r="F4" s="38">
        <f>F20</f>
        <v>14423683909608</v>
      </c>
      <c r="G4" s="39">
        <f>(F4/F3)-1</f>
        <v>0.53977647130408202</v>
      </c>
      <c r="J4" s="44"/>
    </row>
    <row r="5" spans="1:11">
      <c r="A5" s="50" t="s">
        <v>203</v>
      </c>
      <c r="B5" s="49">
        <f>B4-B3</f>
        <v>8059087675</v>
      </c>
      <c r="C5" s="49">
        <f t="shared" ref="C5:D5" si="0">C4-C3</f>
        <v>57919778610.904968</v>
      </c>
      <c r="D5" s="49">
        <f t="shared" si="0"/>
        <v>65978866285.904953</v>
      </c>
      <c r="E5" s="51"/>
      <c r="F5" s="49">
        <f>F4-F3</f>
        <v>5056295734497</v>
      </c>
      <c r="G5" s="52"/>
    </row>
    <row r="6" spans="1:11" ht="276.75" customHeight="1"/>
    <row r="7" spans="1:11">
      <c r="B7" s="53">
        <v>45599</v>
      </c>
      <c r="C7" s="54"/>
      <c r="D7" s="55"/>
      <c r="E7" s="54">
        <v>45627</v>
      </c>
      <c r="F7" s="54"/>
      <c r="G7" s="55"/>
      <c r="I7" s="56" t="s">
        <v>200</v>
      </c>
      <c r="J7" s="56"/>
    </row>
    <row r="8" spans="1:11">
      <c r="A8" s="26" t="s">
        <v>193</v>
      </c>
      <c r="B8" s="27" t="s">
        <v>194</v>
      </c>
      <c r="C8" s="28" t="s">
        <v>192</v>
      </c>
      <c r="D8" s="29" t="s">
        <v>195</v>
      </c>
      <c r="E8" s="28" t="s">
        <v>194</v>
      </c>
      <c r="F8" s="28" t="s">
        <v>192</v>
      </c>
      <c r="G8" s="29" t="s">
        <v>195</v>
      </c>
      <c r="I8" s="19" t="s">
        <v>194</v>
      </c>
      <c r="J8" s="19" t="s">
        <v>202</v>
      </c>
    </row>
    <row r="9" spans="1:11">
      <c r="A9" s="34" t="s">
        <v>181</v>
      </c>
      <c r="B9" s="35">
        <v>30</v>
      </c>
      <c r="C9" s="31">
        <v>1548603167792</v>
      </c>
      <c r="D9" s="36"/>
      <c r="E9" s="19">
        <v>30</v>
      </c>
      <c r="F9" s="31">
        <v>1502097804235</v>
      </c>
      <c r="G9" s="36"/>
      <c r="I9" s="44">
        <f>(E9/B9)-1</f>
        <v>0</v>
      </c>
      <c r="J9" s="44"/>
    </row>
    <row r="10" spans="1:11">
      <c r="A10" s="34" t="s">
        <v>182</v>
      </c>
      <c r="B10" s="35">
        <v>250</v>
      </c>
      <c r="C10" s="31">
        <v>208697426935</v>
      </c>
      <c r="D10" s="36"/>
      <c r="E10" s="19">
        <v>250</v>
      </c>
      <c r="F10" s="31">
        <v>206167253798</v>
      </c>
      <c r="G10" s="36"/>
      <c r="I10" s="44">
        <f t="shared" ref="I10:I19" si="1">(E10/B10)-1</f>
        <v>0</v>
      </c>
      <c r="J10" s="44"/>
    </row>
    <row r="11" spans="1:11">
      <c r="A11" s="34" t="s">
        <v>183</v>
      </c>
      <c r="B11" s="35">
        <v>80</v>
      </c>
      <c r="C11" s="31">
        <v>1297662855427</v>
      </c>
      <c r="D11" s="36">
        <v>13.600000000000001</v>
      </c>
      <c r="E11" s="19">
        <v>80</v>
      </c>
      <c r="F11" s="31">
        <v>1302568301015</v>
      </c>
      <c r="G11" s="36">
        <v>16.8</v>
      </c>
      <c r="I11" s="44">
        <f t="shared" si="1"/>
        <v>0</v>
      </c>
      <c r="J11" s="44">
        <f t="shared" ref="J11:J20" si="2">(G11/D11)-1</f>
        <v>0.23529411764705865</v>
      </c>
    </row>
    <row r="12" spans="1:11">
      <c r="A12" s="34" t="s">
        <v>184</v>
      </c>
      <c r="B12" s="35">
        <v>130</v>
      </c>
      <c r="C12" s="31">
        <v>2047287373871</v>
      </c>
      <c r="D12" s="36">
        <v>19.5</v>
      </c>
      <c r="E12" s="19">
        <v>60</v>
      </c>
      <c r="F12" s="31">
        <v>2012167325881</v>
      </c>
      <c r="G12" s="36">
        <v>25.2</v>
      </c>
      <c r="I12" s="44">
        <f t="shared" si="1"/>
        <v>-0.53846153846153844</v>
      </c>
      <c r="J12" s="44">
        <f t="shared" si="2"/>
        <v>0.29230769230769238</v>
      </c>
    </row>
    <row r="13" spans="1:11">
      <c r="A13" s="34" t="s">
        <v>185</v>
      </c>
      <c r="B13" s="35">
        <v>2.0000000000000001E-4</v>
      </c>
      <c r="C13" s="31">
        <v>12085680872</v>
      </c>
      <c r="D13" s="36">
        <v>13.746352</v>
      </c>
      <c r="E13" s="19">
        <v>2.2000000000000001E-4</v>
      </c>
      <c r="F13" s="31">
        <v>1704527581437</v>
      </c>
      <c r="G13" s="36">
        <v>21.222341800000002</v>
      </c>
      <c r="I13" s="44">
        <f t="shared" si="1"/>
        <v>0.10000000000000009</v>
      </c>
      <c r="J13" s="44">
        <f t="shared" si="2"/>
        <v>0.54385263813992268</v>
      </c>
    </row>
    <row r="14" spans="1:11">
      <c r="A14" s="34" t="s">
        <v>186</v>
      </c>
      <c r="B14" s="35">
        <v>1.8E-3</v>
      </c>
      <c r="C14" s="31">
        <v>479952872411</v>
      </c>
      <c r="D14" s="36">
        <v>4.4214120000000001</v>
      </c>
      <c r="E14" s="19">
        <v>6.0000000000000001E-3</v>
      </c>
      <c r="F14" s="31">
        <v>1720775968166</v>
      </c>
      <c r="G14" s="36">
        <v>22.238040000000002</v>
      </c>
      <c r="I14" s="44">
        <f t="shared" si="1"/>
        <v>2.3333333333333335</v>
      </c>
      <c r="J14" s="44">
        <f t="shared" si="2"/>
        <v>4.0296240205617577</v>
      </c>
    </row>
    <row r="15" spans="1:11">
      <c r="A15" s="34" t="s">
        <v>187</v>
      </c>
      <c r="B15" s="35">
        <v>2.8000000000000001E-2</v>
      </c>
      <c r="C15" s="31">
        <v>1223789587623</v>
      </c>
      <c r="D15" s="36">
        <v>15.62372</v>
      </c>
      <c r="E15" s="19">
        <v>2.5000000000000001E-2</v>
      </c>
      <c r="F15" s="31">
        <v>1247222939191</v>
      </c>
      <c r="G15" s="36">
        <v>16.365000000000002</v>
      </c>
      <c r="I15" s="44">
        <f t="shared" si="1"/>
        <v>-0.1071428571428571</v>
      </c>
      <c r="J15" s="44">
        <f t="shared" si="2"/>
        <v>4.7445806760489928E-2</v>
      </c>
    </row>
    <row r="16" spans="1:11">
      <c r="A16" s="34" t="s">
        <v>188</v>
      </c>
      <c r="B16" s="35">
        <v>9</v>
      </c>
      <c r="C16" s="31">
        <v>435521914006</v>
      </c>
      <c r="D16" s="36">
        <v>2.61</v>
      </c>
      <c r="E16" s="19">
        <v>35</v>
      </c>
      <c r="F16" s="31">
        <v>1042715534192</v>
      </c>
      <c r="G16" s="36">
        <v>21</v>
      </c>
      <c r="I16" s="44">
        <f t="shared" si="1"/>
        <v>2.8888888888888888</v>
      </c>
      <c r="J16" s="44">
        <f t="shared" si="2"/>
        <v>7.0459770114942533</v>
      </c>
    </row>
    <row r="17" spans="1:10">
      <c r="A17" s="34" t="s">
        <v>189</v>
      </c>
      <c r="B17" s="35">
        <v>0.08</v>
      </c>
      <c r="C17" s="31">
        <v>1087209850989</v>
      </c>
      <c r="D17" s="36">
        <v>12.9968</v>
      </c>
      <c r="E17" s="19">
        <v>0.08</v>
      </c>
      <c r="F17" s="31">
        <v>1052273875232</v>
      </c>
      <c r="G17" s="36">
        <v>19.0184</v>
      </c>
      <c r="I17" s="44">
        <f t="shared" si="1"/>
        <v>0</v>
      </c>
      <c r="J17" s="44">
        <f t="shared" si="2"/>
        <v>0.46331404653453157</v>
      </c>
    </row>
    <row r="18" spans="1:10">
      <c r="A18" s="34" t="s">
        <v>190</v>
      </c>
      <c r="B18" s="35">
        <v>0</v>
      </c>
      <c r="C18" s="31">
        <v>0</v>
      </c>
      <c r="D18" s="36">
        <v>0</v>
      </c>
      <c r="E18" s="19">
        <v>12</v>
      </c>
      <c r="F18" s="31">
        <v>1118898900974</v>
      </c>
      <c r="G18" s="36">
        <v>28.32</v>
      </c>
      <c r="I18" s="45" t="s">
        <v>201</v>
      </c>
      <c r="J18" s="45" t="s">
        <v>201</v>
      </c>
    </row>
    <row r="19" spans="1:10">
      <c r="A19" s="34" t="s">
        <v>191</v>
      </c>
      <c r="B19" s="35">
        <v>0.24</v>
      </c>
      <c r="C19" s="31">
        <v>1026577445185</v>
      </c>
      <c r="D19" s="36">
        <v>16.041599999999999</v>
      </c>
      <c r="E19" s="19">
        <v>0.3</v>
      </c>
      <c r="F19" s="31">
        <v>1514268425487</v>
      </c>
      <c r="G19" s="36">
        <v>30.839999999999996</v>
      </c>
      <c r="I19" s="44">
        <f t="shared" si="1"/>
        <v>0.25</v>
      </c>
      <c r="J19" s="44">
        <f t="shared" si="2"/>
        <v>0.92250149611011367</v>
      </c>
    </row>
    <row r="20" spans="1:10">
      <c r="A20" s="26" t="s">
        <v>196</v>
      </c>
      <c r="B20" s="40"/>
      <c r="C20" s="49">
        <f>SUM(C9:C19)</f>
        <v>9367388175111</v>
      </c>
      <c r="D20" s="41">
        <v>98.539884000000015</v>
      </c>
      <c r="E20" s="42"/>
      <c r="F20" s="49">
        <f>SUM(F9:F19)</f>
        <v>14423683909608</v>
      </c>
      <c r="G20" s="41">
        <v>201.00378179999998</v>
      </c>
      <c r="I20" s="46">
        <f>AVERAGE(I9:I19)</f>
        <v>0.49266178266178268</v>
      </c>
      <c r="J20" s="47">
        <f t="shared" si="2"/>
        <v>1.0398215792500829</v>
      </c>
    </row>
    <row r="23" spans="1:10">
      <c r="I23" s="43"/>
    </row>
  </sheetData>
  <mergeCells count="3">
    <mergeCell ref="B7:D7"/>
    <mergeCell ref="E7:G7"/>
    <mergeCell ref="I7:J7"/>
  </mergeCells>
  <conditionalFormatting sqref="I9:I2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J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9:J20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2024-12-04T01:19:51Z</dcterms:modified>
</cp:coreProperties>
</file>