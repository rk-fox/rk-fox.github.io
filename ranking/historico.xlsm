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89AC30D8-3F0C-4E39-9A25-F5FCEAE6F020}" xr6:coauthVersionLast="47" xr6:coauthVersionMax="47" xr10:uidLastSave="{00000000-0000-0000-0000-000000000000}"/>
  <bookViews>
    <workbookView xWindow="12960" yWindow="2970" windowWidth="14385" windowHeight="11295" activeTab="1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6" l="1"/>
  <c r="AO62" i="3"/>
  <c r="AO82" i="3"/>
  <c r="AO11" i="3"/>
  <c r="AO35" i="3"/>
  <c r="AO77" i="3"/>
  <c r="AO4" i="3"/>
  <c r="AO5" i="3"/>
  <c r="AO6" i="3"/>
  <c r="AO7" i="3"/>
  <c r="AO8" i="3"/>
  <c r="AO9" i="3"/>
  <c r="AO10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4" i="3"/>
  <c r="AO55" i="3"/>
  <c r="AO56" i="3"/>
  <c r="AO57" i="3"/>
  <c r="AO58" i="3"/>
  <c r="AO59" i="3"/>
  <c r="AO60" i="3"/>
  <c r="AO61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8" i="3"/>
  <c r="AO79" i="3"/>
  <c r="AO80" i="3"/>
  <c r="AO81" i="3"/>
  <c r="AO83" i="3"/>
  <c r="AO85" i="3"/>
  <c r="AO87" i="3"/>
  <c r="AO89" i="3"/>
  <c r="AO90" i="3"/>
  <c r="AO91" i="3"/>
  <c r="AO92" i="3"/>
  <c r="AO93" i="3"/>
  <c r="AO95" i="3"/>
  <c r="AO97" i="3"/>
  <c r="AO98" i="3"/>
  <c r="AO3" i="3"/>
  <c r="P23" i="6"/>
  <c r="O23" i="6"/>
  <c r="O14" i="6"/>
  <c r="P14" i="6"/>
  <c r="O22" i="6"/>
  <c r="J22" i="6"/>
  <c r="M22" i="6"/>
  <c r="J21" i="6"/>
  <c r="M21" i="6"/>
  <c r="J20" i="6"/>
  <c r="M20" i="6"/>
  <c r="J19" i="6"/>
  <c r="M19" i="6"/>
  <c r="J18" i="6"/>
  <c r="M18" i="6"/>
  <c r="J17" i="6"/>
  <c r="M17" i="6"/>
  <c r="J16" i="6"/>
  <c r="M16" i="6"/>
  <c r="J15" i="6"/>
  <c r="M15" i="6"/>
  <c r="J14" i="6"/>
  <c r="M14" i="6"/>
  <c r="M23" i="6"/>
  <c r="L23" i="6"/>
  <c r="J23" i="6"/>
  <c r="I23" i="6"/>
  <c r="F23" i="6"/>
  <c r="G23" i="6"/>
  <c r="C23" i="6"/>
  <c r="D23" i="6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D8" i="6"/>
  <c r="E3" i="6"/>
  <c r="E5" i="6"/>
  <c r="E4" i="6"/>
  <c r="F5" i="6"/>
  <c r="F4" i="6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3" i="3"/>
  <c r="P16" i="6" l="1"/>
  <c r="P17" i="6"/>
  <c r="P18" i="6"/>
  <c r="P19" i="6"/>
  <c r="P20" i="6"/>
  <c r="P21" i="6"/>
  <c r="P22" i="6"/>
  <c r="P15" i="6"/>
  <c r="O13" i="6"/>
  <c r="O15" i="6"/>
  <c r="O16" i="6"/>
  <c r="O17" i="6"/>
  <c r="O18" i="6"/>
  <c r="O19" i="6"/>
  <c r="O20" i="6"/>
  <c r="O21" i="6"/>
  <c r="O12" i="6"/>
  <c r="E6" i="6"/>
  <c r="C8" i="6"/>
  <c r="B8" i="6"/>
  <c r="F7" i="6" l="1"/>
  <c r="F6" i="6"/>
  <c r="F3" i="6"/>
  <c r="G4" i="6" s="1"/>
  <c r="G7" i="6" l="1"/>
  <c r="F8" i="6"/>
  <c r="G5" i="6"/>
</calcChain>
</file>

<file path=xl/sharedStrings.xml><?xml version="1.0" encoding="utf-8"?>
<sst xmlns="http://schemas.openxmlformats.org/spreadsheetml/2006/main" count="640" uniqueCount="367">
  <si>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</si>
  <si>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</si>
  <si>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</si>
  <si>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</si>
  <si>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</si>
  <si>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</si>
  <si>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</si>
  <si>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</si>
  <si>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</si>
  <si>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</si>
  <si>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</si>
  <si>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</si>
  <si>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</si>
  <si>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</si>
  <si>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</si>
  <si>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</si>
  <si>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</si>
  <si>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</si>
  <si>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</si>
  <si>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</si>
  <si>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</si>
  <si>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</si>
  <si>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</si>
  <si>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</si>
  <si>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</si>
  <si>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</si>
  <si>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</si>
  <si>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</si>
  <si>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</si>
  <si>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</si>
  <si>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</si>
  <si>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</si>
  <si>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</si>
  <si>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</si>
  <si>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</si>
  <si>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</si>
  <si>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</si>
  <si>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</si>
  <si>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</si>
  <si>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</si>
  <si>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</si>
  <si>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</si>
  <si>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</si>
  <si>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</si>
  <si>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</si>
  <si>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</si>
  <si>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</si>
  <si>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</si>
  <si>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</si>
  <si>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</si>
  <si>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</si>
  <si>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</si>
  <si>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</si>
  <si>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</si>
  <si>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</si>
  <si>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</si>
  <si>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</si>
  <si>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</si>
  <si>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</si>
  <si>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</si>
  <si>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</si>
  <si>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</si>
  <si>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</si>
  <si>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</si>
  <si>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</si>
  <si>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</si>
  <si>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</si>
  <si>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</si>
  <si>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</si>
  <si>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</si>
  <si>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</si>
  <si>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</si>
  <si>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</si>
  <si>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</si>
  <si>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</si>
  <si>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</si>
  <si>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</si>
  <si>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</si>
  <si>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</si>
  <si>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</si>
  <si>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</si>
  <si>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</si>
  <si>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</si>
  <si>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</si>
  <si>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</si>
  <si>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</si>
  <si>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</si>
  <si>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</si>
  <si>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</si>
  <si>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</si>
  <si>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</si>
  <si>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</si>
  <si>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</si>
  <si>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</si>
  <si>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</si>
  <si>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</si>
  <si>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</si>
  <si>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</si>
  <si>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</si>
  <si>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</si>
  <si>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</si>
  <si>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</si>
  <si>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</si>
  <si>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</si>
  <si>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</si>
  <si>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</si>
  <si>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</si>
  <si>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</si>
  <si>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</si>
  <si>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</si>
  <si>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</si>
  <si>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</si>
  <si>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</si>
  <si>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</si>
  <si>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</si>
  <si>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</si>
  <si>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</si>
  <si>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</si>
  <si>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</si>
  <si>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</si>
  <si>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</si>
  <si>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</si>
  <si>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</si>
  <si>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</si>
  <si>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</si>
  <si>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</si>
  <si>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</si>
  <si>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</si>
  <si>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</si>
  <si>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</si>
  <si>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</si>
  <si>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</si>
  <si>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</si>
  <si>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</si>
  <si>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</si>
  <si>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</si>
  <si>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</si>
  <si>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</si>
  <si>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</si>
  <si>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</si>
  <si>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</si>
  <si>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</si>
  <si>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</si>
  <si>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</si>
  <si>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</si>
  <si>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</si>
  <si>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</si>
  <si>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</si>
  <si>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</si>
  <si>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</si>
  <si>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</si>
  <si>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</si>
  <si>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</si>
  <si>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</si>
  <si>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</si>
  <si>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</si>
  <si>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</si>
  <si>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</si>
  <si>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</si>
  <si>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</si>
  <si>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</si>
  <si>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</si>
  <si>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</si>
  <si>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</si>
  <si>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</si>
  <si>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</si>
  <si>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</si>
  <si>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</si>
  <si>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</si>
  <si>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</si>
  <si>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</si>
  <si>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</si>
  <si>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</si>
  <si>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</si>
  <si>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</si>
  <si>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</si>
  <si>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</si>
  <si>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</si>
  <si>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</si>
  <si>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</si>
  <si>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</si>
  <si>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</si>
  <si>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</si>
  <si>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</si>
  <si>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</si>
  <si>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</si>
  <si>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</si>
  <si>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</si>
  <si>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</si>
  <si>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</si>
  <si>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</si>
  <si>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</si>
  <si>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</si>
  <si>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</si>
  <si>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</si>
  <si>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</si>
  <si>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</si>
  <si>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</si>
  <si>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</si>
  <si>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</si>
  <si>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</si>
  <si>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</si>
  <si>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</si>
  <si>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</si>
  <si>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</si>
  <si>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</si>
  <si>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</si>
  <si>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</si>
  <si>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</si>
  <si>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</si>
  <si>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</si>
  <si>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</si>
  <si>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</si>
  <si>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</si>
  <si>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</si>
  <si>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</si>
  <si>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</si>
  <si>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</si>
  <si>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</si>
  <si>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</si>
  <si>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</si>
  <si>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</si>
  <si>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</si>
  <si>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</si>
  <si>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</si>
  <si>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</si>
  <si>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</si>
  <si>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</si>
  <si>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</si>
  <si>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</si>
  <si>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</si>
  <si>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</si>
  <si>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</si>
  <si>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</si>
  <si>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</si>
  <si>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</si>
  <si>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</si>
  <si>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</si>
  <si>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</si>
  <si>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</si>
  <si>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</si>
  <si>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</si>
  <si>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</si>
  <si>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</si>
  <si>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</si>
  <si>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</si>
  <si>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</si>
  <si>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</si>
  <si>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</si>
  <si>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</si>
  <si>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</si>
  <si>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</si>
  <si>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</si>
  <si>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</si>
  <si>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</si>
  <si>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</si>
  <si>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</si>
  <si>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</si>
  <si>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</si>
  <si>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</si>
  <si>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</si>
  <si>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</si>
  <si>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</si>
  <si>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</si>
  <si>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</si>
  <si>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</si>
  <si>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</si>
  <si>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</si>
  <si>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</si>
  <si>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</si>
  <si>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</si>
  <si>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</si>
  <si>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</si>
  <si>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</si>
  <si>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</si>
  <si>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</si>
  <si>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</si>
  <si>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</si>
  <si>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</si>
  <si>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</si>
  <si>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</si>
  <si>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</si>
  <si>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</si>
  <si>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</si>
  <si>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</si>
  <si>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</si>
  <si>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</si>
  <si>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</si>
  <si>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</si>
  <si>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</si>
  <si>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</si>
  <si>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</si>
  <si>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</si>
  <si>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</si>
  <si>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</si>
  <si>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</si>
  <si>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</si>
  <si>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</si>
  <si>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</si>
  <si>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</si>
  <si>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</si>
  <si>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</si>
  <si>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</si>
  <si>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</si>
  <si>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</si>
  <si>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</si>
  <si>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</si>
  <si>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</si>
  <si>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</si>
  <si>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</si>
  <si>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</si>
  <si>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</si>
  <si>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</si>
  <si>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</si>
  <si>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</si>
  <si>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</si>
  <si>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</si>
  <si>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</si>
  <si>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</si>
  <si>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</si>
  <si>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</si>
  <si>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</si>
  <si>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</si>
  <si>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</si>
  <si>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</si>
  <si>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</si>
  <si>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</si>
  <si>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</si>
  <si>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</si>
  <si>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</si>
  <si>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</si>
  <si>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</si>
  <si>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</si>
  <si>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</si>
  <si>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</si>
  <si>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</si>
  <si>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</si>
  <si>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</si>
  <si>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</si>
  <si>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</si>
  <si>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</si>
  <si>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</si>
  <si>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</si>
  <si>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</si>
  <si>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</si>
  <si>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</si>
  <si>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</si>
  <si>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</si>
  <si>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</si>
  <si>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</si>
  <si>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</si>
  <si>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</si>
  <si>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</si>
  <si>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</si>
  <si>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</si>
  <si>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</si>
  <si>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</si>
  <si>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</si>
  <si>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</si>
  <si>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</si>
  <si>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</si>
  <si>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</si>
  <si>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</si>
  <si>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</si>
  <si>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</si>
  <si>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Rato Safado</t>
  </si>
  <si>
    <t>poder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</si>
</sst>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0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9" fontId="0" fillId="0" borderId="0" xfId="0" applyNumberForma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0" fontId="5" fillId="3" borderId="0" xfId="0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0" fontId="5" fillId="3" borderId="0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12"/>
  <sheetViews>
    <sheetView zoomScaleNormal="100" workbookViewId="0">
      <selection activeCell="C2" sqref="C2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B2" t="s">
        <v>365</v>
      </c>
      <c r="C2" s="58">
        <v>23573733555837</v>
      </c>
      <c r="D2">
        <v>0</v>
      </c>
    </row>
    <row r="3" spans="1:5">
      <c r="A3" t="s">
        <v>346</v>
      </c>
      <c r="B3" t="s">
        <v>324</v>
      </c>
      <c r="C3">
        <v>42196961374.695099</v>
      </c>
      <c r="D3">
        <v>1</v>
      </c>
      <c r="E3" t="s">
        <v>323</v>
      </c>
    </row>
    <row r="4" spans="1:5">
      <c r="A4" s="2" t="s">
        <v>44</v>
      </c>
      <c r="B4" t="s">
        <v>43</v>
      </c>
      <c r="C4" s="2">
        <v>24312770455.995201</v>
      </c>
      <c r="D4">
        <v>2</v>
      </c>
      <c r="E4" t="s">
        <v>63</v>
      </c>
    </row>
    <row r="5" spans="1:5">
      <c r="A5" s="2" t="s">
        <v>24</v>
      </c>
      <c r="B5" t="s">
        <v>20</v>
      </c>
      <c r="C5" s="2">
        <v>19910368676.368198</v>
      </c>
      <c r="D5">
        <v>3</v>
      </c>
      <c r="E5" t="s">
        <v>61</v>
      </c>
    </row>
    <row r="6" spans="1:5">
      <c r="A6" s="2" t="s">
        <v>31</v>
      </c>
      <c r="B6" t="s">
        <v>32</v>
      </c>
      <c r="C6" s="2">
        <v>19781030777.6856</v>
      </c>
      <c r="D6">
        <v>4</v>
      </c>
      <c r="E6" t="s">
        <v>62</v>
      </c>
    </row>
    <row r="7" spans="1:5">
      <c r="A7" t="s">
        <v>352</v>
      </c>
      <c r="B7" t="s">
        <v>335</v>
      </c>
      <c r="C7">
        <v>19587172787.799198</v>
      </c>
      <c r="D7">
        <v>5</v>
      </c>
      <c r="E7" t="s">
        <v>336</v>
      </c>
    </row>
    <row r="8" spans="1:5">
      <c r="A8" s="2" t="s">
        <v>162</v>
      </c>
      <c r="B8" t="s">
        <v>160</v>
      </c>
      <c r="C8">
        <v>17597132941.417</v>
      </c>
      <c r="D8">
        <v>6</v>
      </c>
      <c r="E8" t="s">
        <v>161</v>
      </c>
    </row>
    <row r="9" spans="1:5">
      <c r="A9" s="2" t="s">
        <v>88</v>
      </c>
      <c r="B9" t="s">
        <v>87</v>
      </c>
      <c r="C9" s="2">
        <v>16786451449.360001</v>
      </c>
      <c r="D9">
        <v>7</v>
      </c>
      <c r="E9" t="s">
        <v>124</v>
      </c>
    </row>
    <row r="10" spans="1:5">
      <c r="A10" t="s">
        <v>242</v>
      </c>
      <c r="B10" t="s">
        <v>241</v>
      </c>
      <c r="C10">
        <v>15065332253.881601</v>
      </c>
      <c r="D10">
        <v>8</v>
      </c>
      <c r="E10" t="s">
        <v>240</v>
      </c>
    </row>
    <row r="11" spans="1:5">
      <c r="A11" s="1" t="s">
        <v>5</v>
      </c>
      <c r="B11" t="s">
        <v>3</v>
      </c>
      <c r="C11" s="2">
        <v>14161570914.6856</v>
      </c>
      <c r="D11">
        <v>9</v>
      </c>
      <c r="E11" t="s">
        <v>3</v>
      </c>
    </row>
    <row r="12" spans="1:5">
      <c r="A12" s="1" t="s">
        <v>1</v>
      </c>
      <c r="B12" t="s">
        <v>0</v>
      </c>
      <c r="C12" s="2">
        <v>12889998735.301601</v>
      </c>
      <c r="D12">
        <v>10</v>
      </c>
      <c r="E12" t="s">
        <v>0</v>
      </c>
    </row>
    <row r="13" spans="1:5">
      <c r="A13" t="s">
        <v>270</v>
      </c>
      <c r="B13" t="s">
        <v>269</v>
      </c>
      <c r="C13">
        <v>11716731052.730398</v>
      </c>
      <c r="D13">
        <v>11</v>
      </c>
      <c r="E13" t="s">
        <v>268</v>
      </c>
    </row>
    <row r="14" spans="1:5">
      <c r="A14" s="2" t="s">
        <v>46</v>
      </c>
      <c r="B14" s="2" t="s">
        <v>45</v>
      </c>
      <c r="C14" s="2">
        <v>9727470381.2750015</v>
      </c>
      <c r="D14">
        <v>12</v>
      </c>
      <c r="E14" t="s">
        <v>64</v>
      </c>
    </row>
    <row r="15" spans="1:5">
      <c r="A15" t="s">
        <v>312</v>
      </c>
      <c r="B15" t="s">
        <v>289</v>
      </c>
      <c r="C15">
        <v>9551880316.5599003</v>
      </c>
      <c r="D15">
        <v>13</v>
      </c>
      <c r="E15" t="s">
        <v>288</v>
      </c>
    </row>
    <row r="16" spans="1:5">
      <c r="A16" t="s">
        <v>110</v>
      </c>
      <c r="B16" t="s">
        <v>111</v>
      </c>
      <c r="C16">
        <v>9540454459.9827995</v>
      </c>
      <c r="D16">
        <v>14</v>
      </c>
      <c r="E16" t="s">
        <v>156</v>
      </c>
    </row>
    <row r="17" spans="1:5">
      <c r="A17" s="2" t="s">
        <v>48</v>
      </c>
      <c r="B17" t="s">
        <v>47</v>
      </c>
      <c r="C17" s="2">
        <v>9065063331.1006012</v>
      </c>
      <c r="D17">
        <v>15</v>
      </c>
      <c r="E17" t="s">
        <v>67</v>
      </c>
    </row>
    <row r="18" spans="1:5">
      <c r="A18" t="s">
        <v>198</v>
      </c>
      <c r="B18" t="s">
        <v>197</v>
      </c>
      <c r="C18">
        <v>8691340617.3384991</v>
      </c>
      <c r="D18">
        <v>16</v>
      </c>
      <c r="E18" t="s">
        <v>196</v>
      </c>
    </row>
    <row r="19" spans="1:5">
      <c r="A19" s="2" t="s">
        <v>42</v>
      </c>
      <c r="B19" t="s">
        <v>41</v>
      </c>
      <c r="C19" s="2">
        <v>8021576332.1170998</v>
      </c>
      <c r="D19">
        <v>17</v>
      </c>
      <c r="E19" t="s">
        <v>41</v>
      </c>
    </row>
    <row r="20" spans="1:5">
      <c r="A20" t="s">
        <v>267</v>
      </c>
      <c r="B20" t="s">
        <v>264</v>
      </c>
      <c r="C20">
        <v>7426157030.6254997</v>
      </c>
      <c r="D20">
        <v>18</v>
      </c>
      <c r="E20" t="s">
        <v>263</v>
      </c>
    </row>
    <row r="21" spans="1:5">
      <c r="A21" s="2" t="s">
        <v>216</v>
      </c>
      <c r="B21" t="s">
        <v>205</v>
      </c>
      <c r="C21" s="2">
        <v>6951635182.8207998</v>
      </c>
      <c r="D21">
        <v>19</v>
      </c>
      <c r="E21" t="s">
        <v>204</v>
      </c>
    </row>
    <row r="22" spans="1:5">
      <c r="A22" t="s">
        <v>141</v>
      </c>
      <c r="B22" t="s">
        <v>142</v>
      </c>
      <c r="C22">
        <v>6935276073.3154001</v>
      </c>
      <c r="D22">
        <v>20</v>
      </c>
      <c r="E22" t="s">
        <v>143</v>
      </c>
    </row>
    <row r="23" spans="1:5">
      <c r="A23" t="s">
        <v>351</v>
      </c>
      <c r="B23" t="s">
        <v>333</v>
      </c>
      <c r="C23">
        <v>6896611305.5012999</v>
      </c>
      <c r="D23">
        <v>21</v>
      </c>
      <c r="E23" t="s">
        <v>334</v>
      </c>
    </row>
    <row r="24" spans="1:5">
      <c r="A24" s="3" t="s">
        <v>215</v>
      </c>
      <c r="B24" t="s">
        <v>209</v>
      </c>
      <c r="C24" s="2">
        <v>6672965149.2606001</v>
      </c>
      <c r="D24">
        <v>22</v>
      </c>
      <c r="E24" t="s">
        <v>208</v>
      </c>
    </row>
    <row r="25" spans="1:5">
      <c r="A25" t="s">
        <v>118</v>
      </c>
      <c r="B25" t="s">
        <v>119</v>
      </c>
      <c r="C25">
        <v>6568792852.3663998</v>
      </c>
      <c r="D25">
        <v>23</v>
      </c>
      <c r="E25" t="s">
        <v>120</v>
      </c>
    </row>
    <row r="26" spans="1:5">
      <c r="A26" s="2" t="s">
        <v>50</v>
      </c>
      <c r="B26" s="2" t="s">
        <v>49</v>
      </c>
      <c r="C26" s="2">
        <v>6415843567.4538002</v>
      </c>
      <c r="D26">
        <v>24</v>
      </c>
      <c r="E26" t="s">
        <v>243</v>
      </c>
    </row>
    <row r="27" spans="1:5">
      <c r="A27" t="s">
        <v>184</v>
      </c>
      <c r="B27" t="s">
        <v>274</v>
      </c>
      <c r="C27">
        <v>6400458562.0184002</v>
      </c>
      <c r="D27">
        <v>25</v>
      </c>
      <c r="E27" t="s">
        <v>227</v>
      </c>
    </row>
    <row r="28" spans="1:5">
      <c r="A28" t="s">
        <v>353</v>
      </c>
      <c r="B28" t="s">
        <v>338</v>
      </c>
      <c r="C28">
        <v>6126113123.7950001</v>
      </c>
      <c r="D28">
        <v>26</v>
      </c>
      <c r="E28" t="s">
        <v>337</v>
      </c>
    </row>
    <row r="29" spans="1:5">
      <c r="A29" t="s">
        <v>229</v>
      </c>
      <c r="B29" t="s">
        <v>230</v>
      </c>
      <c r="C29">
        <v>6081984284.9039001</v>
      </c>
      <c r="D29">
        <v>27</v>
      </c>
      <c r="E29" t="s">
        <v>228</v>
      </c>
    </row>
    <row r="30" spans="1:5">
      <c r="A30" t="s">
        <v>319</v>
      </c>
      <c r="B30" t="s">
        <v>302</v>
      </c>
      <c r="C30">
        <v>5933255982.7849998</v>
      </c>
      <c r="D30">
        <v>28</v>
      </c>
      <c r="E30" t="s">
        <v>303</v>
      </c>
    </row>
    <row r="31" spans="1:5">
      <c r="A31" t="s">
        <v>223</v>
      </c>
      <c r="B31" t="s">
        <v>213</v>
      </c>
      <c r="C31">
        <v>5783061408.5037994</v>
      </c>
      <c r="D31">
        <v>29</v>
      </c>
      <c r="E31" t="s">
        <v>212</v>
      </c>
    </row>
    <row r="32" spans="1:5">
      <c r="A32" t="s">
        <v>96</v>
      </c>
      <c r="B32" t="s">
        <v>97</v>
      </c>
      <c r="C32">
        <v>5457274176.9919996</v>
      </c>
      <c r="D32">
        <v>30</v>
      </c>
      <c r="E32" t="s">
        <v>98</v>
      </c>
    </row>
    <row r="33" spans="1:5">
      <c r="A33" s="3" t="s">
        <v>83</v>
      </c>
      <c r="B33" t="s">
        <v>81</v>
      </c>
      <c r="C33" s="2">
        <v>5456060530.7090006</v>
      </c>
      <c r="D33">
        <v>31</v>
      </c>
      <c r="E33" t="s">
        <v>82</v>
      </c>
    </row>
    <row r="34" spans="1:5">
      <c r="A34" t="s">
        <v>128</v>
      </c>
      <c r="B34" t="s">
        <v>129</v>
      </c>
      <c r="C34">
        <v>5438505213.3500004</v>
      </c>
      <c r="D34">
        <v>32</v>
      </c>
      <c r="E34" t="s">
        <v>130</v>
      </c>
    </row>
    <row r="35" spans="1:5">
      <c r="A35" t="s">
        <v>6</v>
      </c>
      <c r="B35" t="s">
        <v>4</v>
      </c>
      <c r="C35" s="2">
        <v>5340578054.8513002</v>
      </c>
      <c r="D35">
        <v>33</v>
      </c>
      <c r="E35" t="s">
        <v>4</v>
      </c>
    </row>
    <row r="36" spans="1:5">
      <c r="A36" t="s">
        <v>318</v>
      </c>
      <c r="B36" t="s">
        <v>300</v>
      </c>
      <c r="C36">
        <v>5172371644.3088007</v>
      </c>
      <c r="D36">
        <v>34</v>
      </c>
      <c r="E36" t="s">
        <v>301</v>
      </c>
    </row>
    <row r="37" spans="1:5">
      <c r="A37" t="s">
        <v>102</v>
      </c>
      <c r="B37" t="s">
        <v>103</v>
      </c>
      <c r="C37">
        <v>5112355057.4216003</v>
      </c>
      <c r="D37">
        <v>35</v>
      </c>
      <c r="E37" t="s">
        <v>104</v>
      </c>
    </row>
    <row r="38" spans="1:5">
      <c r="A38" t="s">
        <v>125</v>
      </c>
      <c r="B38" t="s">
        <v>126</v>
      </c>
      <c r="C38">
        <v>4917970521.5629997</v>
      </c>
      <c r="D38">
        <v>36</v>
      </c>
      <c r="E38" t="s">
        <v>127</v>
      </c>
    </row>
    <row r="39" spans="1:5">
      <c r="A39" s="1" t="s">
        <v>158</v>
      </c>
      <c r="B39" t="s">
        <v>159</v>
      </c>
      <c r="C39">
        <v>4787301904.9056005</v>
      </c>
      <c r="D39">
        <v>37</v>
      </c>
      <c r="E39" t="s">
        <v>157</v>
      </c>
    </row>
    <row r="40" spans="1:5">
      <c r="A40" s="2" t="s">
        <v>23</v>
      </c>
      <c r="B40" t="s">
        <v>18</v>
      </c>
      <c r="C40" s="2">
        <v>4756409322.7215996</v>
      </c>
      <c r="D40">
        <v>38</v>
      </c>
      <c r="E40" t="s">
        <v>73</v>
      </c>
    </row>
    <row r="41" spans="1:5">
      <c r="A41" s="2" t="s">
        <v>29</v>
      </c>
      <c r="B41" t="s">
        <v>27</v>
      </c>
      <c r="C41" s="2">
        <v>4569243971.8299999</v>
      </c>
      <c r="D41">
        <v>39</v>
      </c>
      <c r="E41" t="s">
        <v>68</v>
      </c>
    </row>
    <row r="42" spans="1:5">
      <c r="A42" t="s">
        <v>222</v>
      </c>
      <c r="B42" t="s">
        <v>211</v>
      </c>
      <c r="C42">
        <v>4406675320.3620005</v>
      </c>
      <c r="D42">
        <v>40</v>
      </c>
      <c r="E42" t="s">
        <v>210</v>
      </c>
    </row>
    <row r="43" spans="1:5">
      <c r="A43" s="2" t="s">
        <v>56</v>
      </c>
      <c r="B43" t="s">
        <v>95</v>
      </c>
      <c r="C43" s="2">
        <v>4291809603.8505998</v>
      </c>
      <c r="D43">
        <v>41</v>
      </c>
      <c r="E43" t="s">
        <v>55</v>
      </c>
    </row>
    <row r="44" spans="1:5">
      <c r="A44" t="s">
        <v>307</v>
      </c>
      <c r="B44" t="s">
        <v>277</v>
      </c>
      <c r="C44">
        <v>3894048958.7888002</v>
      </c>
      <c r="D44">
        <v>42</v>
      </c>
      <c r="E44" t="s">
        <v>278</v>
      </c>
    </row>
    <row r="45" spans="1:5">
      <c r="A45" t="s">
        <v>355</v>
      </c>
      <c r="B45" t="s">
        <v>343</v>
      </c>
      <c r="C45">
        <v>3768943797.3280001</v>
      </c>
      <c r="D45">
        <v>43</v>
      </c>
      <c r="E45" t="s">
        <v>342</v>
      </c>
    </row>
    <row r="46" spans="1:5">
      <c r="A46" t="s">
        <v>134</v>
      </c>
      <c r="B46" t="s">
        <v>135</v>
      </c>
      <c r="C46">
        <v>3484230776.8231997</v>
      </c>
      <c r="D46">
        <v>44</v>
      </c>
      <c r="E46" t="s">
        <v>136</v>
      </c>
    </row>
    <row r="47" spans="1:5">
      <c r="A47" t="s">
        <v>316</v>
      </c>
      <c r="B47" t="s">
        <v>296</v>
      </c>
      <c r="C47">
        <v>3247106609.1199999</v>
      </c>
      <c r="D47">
        <v>45</v>
      </c>
      <c r="E47" t="s">
        <v>297</v>
      </c>
    </row>
    <row r="48" spans="1:5">
      <c r="A48" t="s">
        <v>154</v>
      </c>
      <c r="B48" t="s">
        <v>155</v>
      </c>
      <c r="C48">
        <v>3079956927.3747001</v>
      </c>
      <c r="D48">
        <v>46</v>
      </c>
      <c r="E48" t="s">
        <v>153</v>
      </c>
    </row>
    <row r="49" spans="1:5">
      <c r="A49" s="2" t="s">
        <v>60</v>
      </c>
      <c r="B49" t="s">
        <v>59</v>
      </c>
      <c r="C49" s="2">
        <v>2996482466.2841001</v>
      </c>
      <c r="D49">
        <v>47</v>
      </c>
      <c r="E49" t="s">
        <v>71</v>
      </c>
    </row>
    <row r="50" spans="1:5">
      <c r="A50" t="s">
        <v>257</v>
      </c>
      <c r="B50" t="s">
        <v>252</v>
      </c>
      <c r="C50">
        <v>2928876784.6671</v>
      </c>
      <c r="D50">
        <v>48</v>
      </c>
      <c r="E50" t="s">
        <v>251</v>
      </c>
    </row>
    <row r="51" spans="1:5">
      <c r="A51" t="s">
        <v>112</v>
      </c>
      <c r="B51" t="s">
        <v>113</v>
      </c>
      <c r="C51">
        <v>2885760159.4601998</v>
      </c>
      <c r="D51">
        <v>49</v>
      </c>
      <c r="E51" t="s">
        <v>114</v>
      </c>
    </row>
    <row r="52" spans="1:5">
      <c r="A52" s="2" t="s">
        <v>86</v>
      </c>
      <c r="B52" t="s">
        <v>84</v>
      </c>
      <c r="C52" s="2">
        <v>2821483930.013</v>
      </c>
      <c r="D52">
        <v>50</v>
      </c>
      <c r="E52" t="s">
        <v>85</v>
      </c>
    </row>
    <row r="53" spans="1:5">
      <c r="A53" s="2" t="s">
        <v>15</v>
      </c>
      <c r="B53" t="s">
        <v>11</v>
      </c>
      <c r="C53" s="2">
        <v>2769387822.3920002</v>
      </c>
      <c r="D53">
        <v>51</v>
      </c>
      <c r="E53" t="s">
        <v>74</v>
      </c>
    </row>
    <row r="54" spans="1:5">
      <c r="A54" s="2" t="s">
        <v>38</v>
      </c>
      <c r="B54" t="s">
        <v>37</v>
      </c>
      <c r="C54" s="2">
        <v>2653912611.2733998</v>
      </c>
      <c r="D54">
        <v>52</v>
      </c>
      <c r="E54" t="s">
        <v>65</v>
      </c>
    </row>
    <row r="55" spans="1:5">
      <c r="A55" t="s">
        <v>89</v>
      </c>
      <c r="B55" t="s">
        <v>90</v>
      </c>
      <c r="C55">
        <v>2550210833.1259999</v>
      </c>
      <c r="D55">
        <v>53</v>
      </c>
      <c r="E55" t="s">
        <v>91</v>
      </c>
    </row>
    <row r="56" spans="1:5">
      <c r="A56" t="s">
        <v>121</v>
      </c>
      <c r="B56" t="s">
        <v>122</v>
      </c>
      <c r="C56">
        <v>2502896625.0900002</v>
      </c>
      <c r="D56">
        <v>54</v>
      </c>
      <c r="E56" t="s">
        <v>123</v>
      </c>
    </row>
    <row r="57" spans="1:5">
      <c r="A57" t="s">
        <v>131</v>
      </c>
      <c r="B57" t="s">
        <v>137</v>
      </c>
      <c r="C57">
        <v>2418481419.6999998</v>
      </c>
      <c r="D57">
        <v>55</v>
      </c>
      <c r="E57" t="s">
        <v>133</v>
      </c>
    </row>
    <row r="58" spans="1:5">
      <c r="A58" t="s">
        <v>201</v>
      </c>
      <c r="B58" t="s">
        <v>200</v>
      </c>
      <c r="C58">
        <v>2396689833.9456997</v>
      </c>
      <c r="D58">
        <v>56</v>
      </c>
      <c r="E58" t="s">
        <v>199</v>
      </c>
    </row>
    <row r="59" spans="1:5">
      <c r="A59" t="s">
        <v>315</v>
      </c>
      <c r="B59" t="s">
        <v>294</v>
      </c>
      <c r="C59">
        <v>2332450171.9003997</v>
      </c>
      <c r="D59">
        <v>57</v>
      </c>
      <c r="E59" t="s">
        <v>295</v>
      </c>
    </row>
    <row r="60" spans="1:5">
      <c r="A60" t="s">
        <v>99</v>
      </c>
      <c r="B60" t="s">
        <v>100</v>
      </c>
      <c r="C60">
        <v>2326216376.4510002</v>
      </c>
      <c r="D60">
        <v>58</v>
      </c>
      <c r="E60" t="s">
        <v>101</v>
      </c>
    </row>
    <row r="61" spans="1:5">
      <c r="A61" t="s">
        <v>308</v>
      </c>
      <c r="B61" t="s">
        <v>279</v>
      </c>
      <c r="C61">
        <v>2097026388.8212001</v>
      </c>
      <c r="D61">
        <v>59</v>
      </c>
      <c r="E61" t="s">
        <v>280</v>
      </c>
    </row>
    <row r="62" spans="1:5">
      <c r="A62" t="s">
        <v>226</v>
      </c>
      <c r="B62" t="s">
        <v>225</v>
      </c>
      <c r="C62">
        <v>2056858867.5354002</v>
      </c>
      <c r="D62">
        <v>60</v>
      </c>
      <c r="E62" t="s">
        <v>224</v>
      </c>
    </row>
    <row r="63" spans="1:5">
      <c r="A63" s="2" t="s">
        <v>28</v>
      </c>
      <c r="B63" t="s">
        <v>26</v>
      </c>
      <c r="C63" s="2">
        <v>1948548130.3091002</v>
      </c>
      <c r="D63">
        <v>61</v>
      </c>
      <c r="E63" t="s">
        <v>66</v>
      </c>
    </row>
    <row r="64" spans="1:5">
      <c r="A64" t="s">
        <v>233</v>
      </c>
      <c r="B64" t="s">
        <v>232</v>
      </c>
      <c r="C64">
        <v>1930905959.0350001</v>
      </c>
      <c r="D64">
        <v>62</v>
      </c>
      <c r="E64" t="s">
        <v>231</v>
      </c>
    </row>
    <row r="65" spans="1:5">
      <c r="A65" t="s">
        <v>348</v>
      </c>
      <c r="B65" t="s">
        <v>327</v>
      </c>
      <c r="C65">
        <v>1778876069.1354001</v>
      </c>
      <c r="D65">
        <v>63</v>
      </c>
      <c r="E65" t="s">
        <v>328</v>
      </c>
    </row>
    <row r="66" spans="1:5">
      <c r="A66" t="s">
        <v>92</v>
      </c>
      <c r="B66" t="s">
        <v>93</v>
      </c>
      <c r="C66">
        <v>1736856635.9732001</v>
      </c>
      <c r="D66">
        <v>64</v>
      </c>
      <c r="E66" t="s">
        <v>94</v>
      </c>
    </row>
    <row r="67" spans="1:5">
      <c r="A67" t="s">
        <v>105</v>
      </c>
      <c r="B67" t="s">
        <v>106</v>
      </c>
      <c r="C67">
        <v>1736256196.145</v>
      </c>
      <c r="D67">
        <v>65</v>
      </c>
      <c r="E67" t="s">
        <v>107</v>
      </c>
    </row>
    <row r="68" spans="1:5">
      <c r="A68" t="s">
        <v>320</v>
      </c>
      <c r="B68" t="s">
        <v>304</v>
      </c>
      <c r="C68">
        <v>1714710458.5492001</v>
      </c>
      <c r="D68">
        <v>66</v>
      </c>
      <c r="E68" t="s">
        <v>305</v>
      </c>
    </row>
    <row r="69" spans="1:5">
      <c r="A69" t="s">
        <v>220</v>
      </c>
      <c r="B69" t="s">
        <v>203</v>
      </c>
      <c r="C69">
        <v>1607627822.3743</v>
      </c>
      <c r="D69">
        <v>67</v>
      </c>
      <c r="E69" t="s">
        <v>202</v>
      </c>
    </row>
    <row r="70" spans="1:5">
      <c r="A70" t="s">
        <v>221</v>
      </c>
      <c r="B70" t="s">
        <v>207</v>
      </c>
      <c r="C70">
        <v>1598030998.3155</v>
      </c>
      <c r="D70">
        <v>68</v>
      </c>
      <c r="E70" t="s">
        <v>206</v>
      </c>
    </row>
    <row r="71" spans="1:5">
      <c r="A71" t="s">
        <v>108</v>
      </c>
      <c r="B71" t="s">
        <v>109</v>
      </c>
      <c r="C71">
        <v>1578390755.8548</v>
      </c>
      <c r="D71">
        <v>69</v>
      </c>
      <c r="E71" t="s">
        <v>217</v>
      </c>
    </row>
    <row r="72" spans="1:5">
      <c r="A72" t="s">
        <v>358</v>
      </c>
      <c r="B72" t="s">
        <v>339</v>
      </c>
      <c r="C72">
        <v>1568829840.4895999</v>
      </c>
      <c r="D72">
        <v>70</v>
      </c>
      <c r="E72" t="s">
        <v>357</v>
      </c>
    </row>
    <row r="73" spans="1:5">
      <c r="A73" t="s">
        <v>218</v>
      </c>
      <c r="B73" t="s">
        <v>214</v>
      </c>
      <c r="C73">
        <v>1563949867.8655</v>
      </c>
      <c r="D73">
        <v>71</v>
      </c>
      <c r="E73" t="s">
        <v>219</v>
      </c>
    </row>
    <row r="74" spans="1:5">
      <c r="A74" t="s">
        <v>236</v>
      </c>
      <c r="B74" t="s">
        <v>234</v>
      </c>
      <c r="C74">
        <v>1524766230.3396001</v>
      </c>
      <c r="D74">
        <v>72</v>
      </c>
      <c r="E74" t="s">
        <v>235</v>
      </c>
    </row>
    <row r="75" spans="1:5">
      <c r="A75" t="s">
        <v>54</v>
      </c>
      <c r="B75" s="2" t="s">
        <v>53</v>
      </c>
      <c r="C75" s="2">
        <v>1457242453.7647998</v>
      </c>
      <c r="D75">
        <v>73</v>
      </c>
      <c r="E75" t="s">
        <v>189</v>
      </c>
    </row>
    <row r="76" spans="1:5">
      <c r="A76" t="s">
        <v>239</v>
      </c>
      <c r="B76" t="s">
        <v>238</v>
      </c>
      <c r="C76">
        <v>1448140709.7811</v>
      </c>
      <c r="D76">
        <v>74</v>
      </c>
      <c r="E76" t="s">
        <v>237</v>
      </c>
    </row>
    <row r="77" spans="1:5">
      <c r="A77" t="s">
        <v>306</v>
      </c>
      <c r="B77" t="s">
        <v>276</v>
      </c>
      <c r="C77">
        <v>1391280344.8318</v>
      </c>
      <c r="D77">
        <v>75</v>
      </c>
      <c r="E77" t="s">
        <v>275</v>
      </c>
    </row>
    <row r="78" spans="1:5">
      <c r="A78" t="s">
        <v>350</v>
      </c>
      <c r="B78" t="s">
        <v>332</v>
      </c>
      <c r="C78">
        <v>1388453177.1763999</v>
      </c>
      <c r="D78">
        <v>76</v>
      </c>
      <c r="E78" t="s">
        <v>331</v>
      </c>
    </row>
    <row r="79" spans="1:5">
      <c r="A79" t="s">
        <v>363</v>
      </c>
      <c r="B79" t="s">
        <v>360</v>
      </c>
      <c r="C79">
        <v>1358415911.6561</v>
      </c>
      <c r="D79">
        <v>77</v>
      </c>
      <c r="E79" t="s">
        <v>359</v>
      </c>
    </row>
    <row r="80" spans="1:5">
      <c r="A80" t="s">
        <v>322</v>
      </c>
      <c r="B80" t="s">
        <v>285</v>
      </c>
      <c r="C80">
        <v>1355990178.5</v>
      </c>
      <c r="D80">
        <v>78</v>
      </c>
      <c r="E80" t="s">
        <v>321</v>
      </c>
    </row>
    <row r="81" spans="1:5">
      <c r="A81" t="s">
        <v>195</v>
      </c>
      <c r="B81" t="s">
        <v>194</v>
      </c>
      <c r="C81">
        <v>1280581018.5780001</v>
      </c>
      <c r="D81">
        <v>79</v>
      </c>
      <c r="E81" t="s">
        <v>193</v>
      </c>
    </row>
    <row r="82" spans="1:5">
      <c r="A82" s="2" t="s">
        <v>16</v>
      </c>
      <c r="B82" t="s">
        <v>13</v>
      </c>
      <c r="C82" s="2">
        <v>1237527558.0664001</v>
      </c>
      <c r="D82">
        <v>80</v>
      </c>
      <c r="E82" t="s">
        <v>76</v>
      </c>
    </row>
    <row r="83" spans="1:5">
      <c r="A83" t="s">
        <v>138</v>
      </c>
      <c r="B83" t="s">
        <v>132</v>
      </c>
      <c r="C83">
        <v>1096065877.1952</v>
      </c>
      <c r="D83">
        <v>81</v>
      </c>
      <c r="E83" t="s">
        <v>139</v>
      </c>
    </row>
    <row r="84" spans="1:5">
      <c r="A84" s="2" t="s">
        <v>14</v>
      </c>
      <c r="B84" t="s">
        <v>12</v>
      </c>
      <c r="C84" s="2">
        <v>960081872.57800007</v>
      </c>
      <c r="D84">
        <v>82</v>
      </c>
      <c r="E84" t="s">
        <v>69</v>
      </c>
    </row>
    <row r="85" spans="1:5">
      <c r="A85" t="s">
        <v>309</v>
      </c>
      <c r="B85" t="s">
        <v>281</v>
      </c>
      <c r="C85">
        <v>952821289.94089997</v>
      </c>
      <c r="D85">
        <v>83</v>
      </c>
      <c r="E85" t="s">
        <v>282</v>
      </c>
    </row>
    <row r="86" spans="1:5">
      <c r="A86" t="s">
        <v>317</v>
      </c>
      <c r="B86" t="s">
        <v>298</v>
      </c>
      <c r="C86">
        <v>879034292.13400006</v>
      </c>
      <c r="D86">
        <v>84</v>
      </c>
      <c r="E86" t="s">
        <v>299</v>
      </c>
    </row>
    <row r="87" spans="1:5">
      <c r="A87" s="2" t="s">
        <v>30</v>
      </c>
      <c r="B87" t="s">
        <v>25</v>
      </c>
      <c r="C87" s="2">
        <v>844616149.46259999</v>
      </c>
      <c r="D87">
        <v>85</v>
      </c>
      <c r="E87" t="s">
        <v>75</v>
      </c>
    </row>
    <row r="88" spans="1:5">
      <c r="A88" s="2" t="s">
        <v>34</v>
      </c>
      <c r="B88" t="s">
        <v>33</v>
      </c>
      <c r="C88" s="2">
        <v>814530410.52859998</v>
      </c>
      <c r="D88">
        <v>86</v>
      </c>
      <c r="E88" t="s">
        <v>80</v>
      </c>
    </row>
    <row r="89" spans="1:5">
      <c r="A89" s="2" t="s">
        <v>35</v>
      </c>
      <c r="B89" t="s">
        <v>36</v>
      </c>
      <c r="C89" s="2">
        <v>811350427.72689998</v>
      </c>
      <c r="D89">
        <v>87</v>
      </c>
      <c r="E89" t="s">
        <v>70</v>
      </c>
    </row>
    <row r="90" spans="1:5">
      <c r="A90" s="2" t="s">
        <v>22</v>
      </c>
      <c r="B90" t="s">
        <v>17</v>
      </c>
      <c r="C90" s="2">
        <v>745994098.98000002</v>
      </c>
      <c r="D90">
        <v>88</v>
      </c>
      <c r="E90" t="s">
        <v>77</v>
      </c>
    </row>
    <row r="91" spans="1:5">
      <c r="A91" t="s">
        <v>258</v>
      </c>
      <c r="B91" t="s">
        <v>254</v>
      </c>
      <c r="C91">
        <v>712941489.47720003</v>
      </c>
      <c r="D91">
        <v>89</v>
      </c>
      <c r="E91" t="s">
        <v>253</v>
      </c>
    </row>
    <row r="92" spans="1:5">
      <c r="A92" t="s">
        <v>356</v>
      </c>
      <c r="B92" t="s">
        <v>344</v>
      </c>
      <c r="C92">
        <v>708576833.03079998</v>
      </c>
      <c r="D92">
        <v>90</v>
      </c>
      <c r="E92" t="s">
        <v>345</v>
      </c>
    </row>
    <row r="93" spans="1:5">
      <c r="A93" t="s">
        <v>265</v>
      </c>
      <c r="B93" t="s">
        <v>259</v>
      </c>
      <c r="C93">
        <v>641064978.18480003</v>
      </c>
      <c r="D93">
        <v>91</v>
      </c>
      <c r="E93" t="s">
        <v>260</v>
      </c>
    </row>
    <row r="94" spans="1:5">
      <c r="A94" t="s">
        <v>354</v>
      </c>
      <c r="B94" t="s">
        <v>341</v>
      </c>
      <c r="C94">
        <v>586568126.04289997</v>
      </c>
      <c r="D94">
        <v>92</v>
      </c>
      <c r="E94" t="s">
        <v>340</v>
      </c>
    </row>
    <row r="95" spans="1:5">
      <c r="A95" s="2" t="s">
        <v>21</v>
      </c>
      <c r="B95" t="s">
        <v>19</v>
      </c>
      <c r="C95" s="2">
        <v>578052250.2536</v>
      </c>
      <c r="D95">
        <v>93</v>
      </c>
      <c r="E95" t="s">
        <v>78</v>
      </c>
    </row>
    <row r="96" spans="1:5">
      <c r="A96" t="s">
        <v>256</v>
      </c>
      <c r="B96" t="s">
        <v>250</v>
      </c>
      <c r="C96">
        <v>570882170.47439992</v>
      </c>
      <c r="D96">
        <v>94</v>
      </c>
      <c r="E96" t="s">
        <v>249</v>
      </c>
    </row>
    <row r="97" spans="1:5">
      <c r="A97" s="2" t="s">
        <v>58</v>
      </c>
      <c r="B97" t="s">
        <v>57</v>
      </c>
      <c r="C97" s="2">
        <v>485643912.7859</v>
      </c>
      <c r="D97">
        <v>95</v>
      </c>
      <c r="E97" t="s">
        <v>140</v>
      </c>
    </row>
    <row r="98" spans="1:5">
      <c r="A98" t="s">
        <v>255</v>
      </c>
      <c r="B98" t="s">
        <v>248</v>
      </c>
      <c r="C98">
        <v>461602442.19680005</v>
      </c>
      <c r="D98">
        <v>96</v>
      </c>
      <c r="E98" t="s">
        <v>247</v>
      </c>
    </row>
    <row r="99" spans="1:5">
      <c r="A99" s="2" t="s">
        <v>39</v>
      </c>
      <c r="B99" s="2" t="s">
        <v>40</v>
      </c>
      <c r="C99" s="2">
        <v>415107936.13819999</v>
      </c>
      <c r="D99">
        <v>97</v>
      </c>
      <c r="E99" t="s">
        <v>72</v>
      </c>
    </row>
    <row r="100" spans="1:5">
      <c r="A100" t="s">
        <v>192</v>
      </c>
      <c r="B100" t="s">
        <v>191</v>
      </c>
      <c r="C100">
        <v>331915931.63800001</v>
      </c>
      <c r="D100">
        <v>98</v>
      </c>
      <c r="E100" t="s">
        <v>190</v>
      </c>
    </row>
    <row r="101" spans="1:5">
      <c r="A101" t="s">
        <v>311</v>
      </c>
      <c r="B101" t="s">
        <v>287</v>
      </c>
      <c r="C101">
        <v>286794237.14100003</v>
      </c>
      <c r="D101">
        <v>99</v>
      </c>
      <c r="E101" t="s">
        <v>286</v>
      </c>
    </row>
    <row r="102" spans="1:5">
      <c r="A102" t="s">
        <v>115</v>
      </c>
      <c r="B102" t="s">
        <v>116</v>
      </c>
      <c r="C102">
        <v>286202463.995</v>
      </c>
      <c r="D102">
        <v>100</v>
      </c>
      <c r="E102" t="s">
        <v>117</v>
      </c>
    </row>
    <row r="103" spans="1:5">
      <c r="A103" t="s">
        <v>273</v>
      </c>
      <c r="B103" t="s">
        <v>271</v>
      </c>
      <c r="C103">
        <v>282837001.8664</v>
      </c>
      <c r="D103">
        <v>101</v>
      </c>
      <c r="E103" t="s">
        <v>272</v>
      </c>
    </row>
    <row r="104" spans="1:5">
      <c r="A104" t="s">
        <v>310</v>
      </c>
      <c r="B104" t="s">
        <v>283</v>
      </c>
      <c r="C104">
        <v>252717146.50119999</v>
      </c>
      <c r="D104">
        <v>102</v>
      </c>
      <c r="E104" t="s">
        <v>284</v>
      </c>
    </row>
    <row r="105" spans="1:5">
      <c r="A105" s="2" t="s">
        <v>52</v>
      </c>
      <c r="B105" t="s">
        <v>51</v>
      </c>
      <c r="C105" s="2">
        <v>214551133.8644</v>
      </c>
      <c r="D105">
        <v>103</v>
      </c>
      <c r="E105" t="s">
        <v>79</v>
      </c>
    </row>
    <row r="106" spans="1:5">
      <c r="A106" t="s">
        <v>349</v>
      </c>
      <c r="B106" t="s">
        <v>329</v>
      </c>
      <c r="C106">
        <v>152580036.0086</v>
      </c>
      <c r="D106">
        <v>104</v>
      </c>
      <c r="E106" t="s">
        <v>330</v>
      </c>
    </row>
    <row r="107" spans="1:5">
      <c r="A107" t="s">
        <v>266</v>
      </c>
      <c r="B107" t="s">
        <v>262</v>
      </c>
      <c r="C107">
        <v>134108605.74959999</v>
      </c>
      <c r="D107">
        <v>105</v>
      </c>
      <c r="E107" t="s">
        <v>261</v>
      </c>
    </row>
    <row r="108" spans="1:5">
      <c r="A108" t="s">
        <v>347</v>
      </c>
      <c r="B108" t="s">
        <v>325</v>
      </c>
      <c r="C108">
        <v>116542992.53040001</v>
      </c>
      <c r="D108">
        <v>106</v>
      </c>
      <c r="E108" t="s">
        <v>326</v>
      </c>
    </row>
    <row r="109" spans="1:5">
      <c r="A109" s="2" t="s">
        <v>246</v>
      </c>
      <c r="B109" t="s">
        <v>244</v>
      </c>
      <c r="C109">
        <v>91249180.460199997</v>
      </c>
      <c r="D109">
        <v>107</v>
      </c>
      <c r="E109" t="s">
        <v>245</v>
      </c>
    </row>
    <row r="110" spans="1:5">
      <c r="A110" t="s">
        <v>313</v>
      </c>
      <c r="B110" t="s">
        <v>290</v>
      </c>
      <c r="C110">
        <v>52046283.337499999</v>
      </c>
      <c r="D110">
        <v>108</v>
      </c>
      <c r="E110" t="s">
        <v>291</v>
      </c>
    </row>
    <row r="111" spans="1:5">
      <c r="A111" t="s">
        <v>364</v>
      </c>
      <c r="B111" t="s">
        <v>362</v>
      </c>
      <c r="C111">
        <v>25773694.131999999</v>
      </c>
      <c r="D111">
        <v>109</v>
      </c>
      <c r="E111" t="s">
        <v>361</v>
      </c>
    </row>
    <row r="112" spans="1:5">
      <c r="A112" t="s">
        <v>314</v>
      </c>
      <c r="B112" t="s">
        <v>292</v>
      </c>
      <c r="C112">
        <v>20215916.287999999</v>
      </c>
      <c r="D112">
        <v>110</v>
      </c>
      <c r="E112" t="s">
        <v>293</v>
      </c>
    </row>
  </sheetData>
  <autoFilter ref="A1:E1" xr:uid="{F35CEFC1-B3C5-47E8-B313-C5CF74631A2D}">
    <sortState xmlns:xlrd2="http://schemas.microsoft.com/office/spreadsheetml/2017/richdata2" ref="A2:E11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3"/>
  <sheetViews>
    <sheetView tabSelected="1" workbookViewId="0">
      <selection activeCell="A2" sqref="A2"/>
    </sheetView>
  </sheetViews>
  <sheetFormatPr defaultRowHeight="15"/>
  <cols>
    <col min="1" max="1" width="26.5703125" bestFit="1" customWidth="1"/>
    <col min="2" max="3" width="16" bestFit="1" customWidth="1"/>
    <col min="4" max="4" width="10.42578125" bestFit="1" customWidth="1"/>
    <col min="5" max="6" width="12" bestFit="1" customWidth="1"/>
    <col min="7" max="7" width="10.42578125" bestFit="1" customWidth="1"/>
  </cols>
  <sheetData>
    <row r="1" spans="1:7">
      <c r="A1" s="4" t="s">
        <v>366</v>
      </c>
      <c r="C1" s="4"/>
      <c r="E1" s="4"/>
      <c r="F1" s="4"/>
      <c r="G1" s="4"/>
    </row>
    <row r="2" spans="1:7">
      <c r="A2" s="58">
        <v>23573733555837</v>
      </c>
      <c r="C2" s="58"/>
      <c r="D2" s="4"/>
      <c r="E2" s="2"/>
    </row>
    <row r="4" spans="1:7">
      <c r="A4" s="59">
        <v>45672</v>
      </c>
      <c r="E4" s="2"/>
    </row>
    <row r="5" spans="1:7">
      <c r="A5" s="58">
        <v>23573733555837</v>
      </c>
      <c r="E5" s="2"/>
    </row>
    <row r="6" spans="1:7">
      <c r="A6" s="1"/>
      <c r="E6" s="2"/>
    </row>
    <row r="7" spans="1:7">
      <c r="A7" s="1"/>
      <c r="E7" s="2"/>
    </row>
    <row r="8" spans="1:7">
      <c r="A8" s="2"/>
      <c r="E8" s="2"/>
    </row>
    <row r="9" spans="1:7">
      <c r="A9" s="2"/>
      <c r="B9" s="2"/>
      <c r="E9" s="2"/>
    </row>
    <row r="11" spans="1:7">
      <c r="A11" s="2"/>
      <c r="E11" s="2"/>
    </row>
    <row r="12" spans="1:7">
      <c r="A12" s="2"/>
      <c r="E12" s="2"/>
    </row>
    <row r="15" spans="1:7">
      <c r="A15" s="3"/>
      <c r="E15" s="2"/>
    </row>
    <row r="16" spans="1:7">
      <c r="A16" s="2"/>
      <c r="E16" s="2"/>
    </row>
    <row r="17" spans="1:5">
      <c r="E17" s="2"/>
    </row>
    <row r="18" spans="1:5">
      <c r="A18" s="2"/>
      <c r="E18" s="2"/>
    </row>
    <row r="21" spans="1:5">
      <c r="A21" s="2"/>
      <c r="E21" s="2"/>
    </row>
    <row r="23" spans="1:5">
      <c r="A23" s="2"/>
      <c r="E23" s="2"/>
    </row>
    <row r="24" spans="1:5">
      <c r="A24" s="2"/>
      <c r="E24" s="2"/>
    </row>
    <row r="28" spans="1:5">
      <c r="A28" s="2"/>
      <c r="E28" s="2"/>
    </row>
    <row r="32" spans="1:5">
      <c r="A32" s="2"/>
      <c r="E32" s="2"/>
    </row>
    <row r="34" spans="1:5">
      <c r="A34" s="2"/>
      <c r="E34" s="2"/>
    </row>
    <row r="35" spans="1:5">
      <c r="A35" s="2"/>
      <c r="E35" s="2"/>
    </row>
    <row r="37" spans="1:5">
      <c r="A37" s="2"/>
      <c r="E37" s="2"/>
    </row>
    <row r="38" spans="1:5">
      <c r="B38" s="2"/>
      <c r="E38" s="2"/>
    </row>
    <row r="39" spans="1:5">
      <c r="A39" s="2"/>
      <c r="B39" s="2"/>
      <c r="E39" s="2"/>
    </row>
    <row r="40" spans="1:5">
      <c r="A40" s="2"/>
      <c r="B40" s="2"/>
      <c r="E40" s="2"/>
    </row>
    <row r="41" spans="1:5">
      <c r="A41" s="2"/>
      <c r="E41" s="2"/>
    </row>
    <row r="44" spans="1:5">
      <c r="A44" s="2"/>
      <c r="E44" s="2"/>
    </row>
    <row r="45" spans="1:5">
      <c r="A45" s="2"/>
      <c r="E45" s="2"/>
    </row>
    <row r="46" spans="1:5">
      <c r="A46" s="2"/>
      <c r="E46" s="2"/>
    </row>
    <row r="47" spans="1:5">
      <c r="A47" s="2"/>
      <c r="E47" s="2"/>
    </row>
    <row r="48" spans="1:5">
      <c r="A48" s="2"/>
      <c r="E48" s="2"/>
    </row>
    <row r="49" spans="1:5">
      <c r="A49" s="2"/>
      <c r="E49" s="2"/>
    </row>
    <row r="50" spans="1:5">
      <c r="A50" s="3"/>
      <c r="E50" s="2"/>
    </row>
    <row r="53" spans="1:5">
      <c r="A53" s="2"/>
      <c r="E53" s="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P115"/>
  <sheetViews>
    <sheetView topLeftCell="L31" zoomScale="55" zoomScaleNormal="55" workbookViewId="0">
      <selection activeCell="AO98" sqref="AO3:AO98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4.7109375" bestFit="1" customWidth="1"/>
    <col min="35" max="36" width="16" bestFit="1" customWidth="1"/>
    <col min="37" max="37" width="14.7109375" bestFit="1" customWidth="1"/>
    <col min="38" max="39" width="16" bestFit="1" customWidth="1"/>
  </cols>
  <sheetData>
    <row r="1" spans="1:42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/>
    </row>
    <row r="2" spans="1:42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</row>
    <row r="3" spans="1:42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O3" s="15">
        <f>AM3/AG3-1</f>
        <v>0.67787991713068241</v>
      </c>
      <c r="AP3" s="16"/>
    </row>
    <row r="4" spans="1:42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O4" s="15">
        <f t="shared" ref="AO4:AO67" si="10">AM4/AG4-1</f>
        <v>0.87227261313267013</v>
      </c>
      <c r="AP4" s="16"/>
    </row>
    <row r="5" spans="1:42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O5" s="15">
        <f t="shared" si="10"/>
        <v>0.62307364299663059</v>
      </c>
      <c r="AP5" s="16"/>
    </row>
    <row r="6" spans="1:42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O6" s="15">
        <f t="shared" si="10"/>
        <v>0.58426533594459062</v>
      </c>
      <c r="AP6" s="16"/>
    </row>
    <row r="7" spans="1:42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O7" s="15">
        <f t="shared" si="10"/>
        <v>0.85285508910606977</v>
      </c>
      <c r="AP7" s="16"/>
    </row>
    <row r="8" spans="1:42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O8" s="15">
        <f t="shared" si="10"/>
        <v>0.57257770448499512</v>
      </c>
      <c r="AP8" s="16"/>
    </row>
    <row r="9" spans="1:42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O9" s="15">
        <f t="shared" si="10"/>
        <v>0.28184095958618172</v>
      </c>
      <c r="AP9" s="16"/>
    </row>
    <row r="10" spans="1:42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O10" s="15">
        <f t="shared" si="10"/>
        <v>0.53141043022858936</v>
      </c>
      <c r="AP10" s="16"/>
    </row>
    <row r="11" spans="1:42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O11" s="15">
        <f t="shared" si="10"/>
        <v>3.8674552533641551</v>
      </c>
      <c r="AP11" s="16"/>
    </row>
    <row r="12" spans="1:42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O12" s="15">
        <f t="shared" si="10"/>
        <v>0.27672588451071278</v>
      </c>
      <c r="AP12" s="16"/>
    </row>
    <row r="13" spans="1:42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O13" s="15">
        <f t="shared" si="10"/>
        <v>0.61631423519234252</v>
      </c>
      <c r="AP13" s="16"/>
    </row>
    <row r="14" spans="1:42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O14" s="15">
        <f t="shared" si="10"/>
        <v>0.83122641662263042</v>
      </c>
      <c r="AP14" s="16"/>
    </row>
    <row r="15" spans="1:42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O15" s="15">
        <f t="shared" si="10"/>
        <v>0.20180079472533041</v>
      </c>
      <c r="AP15" s="16"/>
    </row>
    <row r="16" spans="1:42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O16" s="15">
        <f t="shared" si="10"/>
        <v>0.30289393518382846</v>
      </c>
      <c r="AP16" s="16"/>
    </row>
    <row r="17" spans="2:42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O17" s="15">
        <f t="shared" si="10"/>
        <v>0.46141912874365132</v>
      </c>
      <c r="AP17" s="16"/>
    </row>
    <row r="18" spans="2:42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O18" s="15">
        <f t="shared" si="10"/>
        <v>0.36451072735369694</v>
      </c>
      <c r="AP18" s="16"/>
    </row>
    <row r="19" spans="2:42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O19" s="15">
        <f t="shared" si="10"/>
        <v>0.35203706291019343</v>
      </c>
      <c r="AP19" s="16"/>
    </row>
    <row r="20" spans="2:42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O20" s="15">
        <f t="shared" si="10"/>
        <v>0.58082852613412284</v>
      </c>
      <c r="AP20" s="16"/>
    </row>
    <row r="21" spans="2:42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O21" s="15">
        <f t="shared" si="10"/>
        <v>0.48188618816972073</v>
      </c>
      <c r="AP21" s="16"/>
    </row>
    <row r="22" spans="2:42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O22" s="15">
        <f t="shared" si="10"/>
        <v>0.4910975527065673</v>
      </c>
      <c r="AP22" s="16"/>
    </row>
    <row r="23" spans="2:42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O23" s="15">
        <f t="shared" si="10"/>
        <v>0.35771104830622047</v>
      </c>
      <c r="AP23" s="16"/>
    </row>
    <row r="24" spans="2:42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O24" s="15">
        <f t="shared" si="10"/>
        <v>0.29250599248672349</v>
      </c>
      <c r="AP24" s="16"/>
    </row>
    <row r="25" spans="2:42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O25" s="15">
        <f t="shared" si="10"/>
        <v>0.44824949417137572</v>
      </c>
      <c r="AP25" s="16"/>
    </row>
    <row r="26" spans="2:42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O26" s="15">
        <f t="shared" si="10"/>
        <v>0.19110461966692238</v>
      </c>
      <c r="AP26" s="16"/>
    </row>
    <row r="27" spans="2:42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O27" s="15">
        <f t="shared" si="10"/>
        <v>0.48412838230260791</v>
      </c>
      <c r="AP27" s="16"/>
    </row>
    <row r="28" spans="2:42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O28" s="15">
        <f t="shared" si="10"/>
        <v>0.65699267192643829</v>
      </c>
      <c r="AP28" s="16"/>
    </row>
    <row r="29" spans="2:42">
      <c r="B29" s="2" t="s">
        <v>50</v>
      </c>
      <c r="C29" s="2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O29" s="15">
        <f t="shared" si="10"/>
        <v>0.89623768455611774</v>
      </c>
      <c r="AP29" s="16"/>
    </row>
    <row r="30" spans="2:42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O30" s="15">
        <f t="shared" si="10"/>
        <v>0.29571614195261531</v>
      </c>
      <c r="AP30" s="16"/>
    </row>
    <row r="31" spans="2:42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O31" s="15">
        <f t="shared" si="10"/>
        <v>0.39468800619140532</v>
      </c>
      <c r="AP31" s="16"/>
    </row>
    <row r="32" spans="2:42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O32" s="15">
        <f t="shared" si="10"/>
        <v>0.30071498262726104</v>
      </c>
      <c r="AP32" s="16"/>
    </row>
    <row r="33" spans="2:42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O33" s="15">
        <f t="shared" si="10"/>
        <v>0.24760717916617714</v>
      </c>
      <c r="AP33" s="16"/>
    </row>
    <row r="34" spans="2:42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O34" s="15">
        <f t="shared" si="10"/>
        <v>0.92297115462500146</v>
      </c>
      <c r="AP34" s="16"/>
    </row>
    <row r="35" spans="2:42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O35" s="15">
        <f t="shared" si="10"/>
        <v>3.8223855471480084</v>
      </c>
      <c r="AP35" s="16"/>
    </row>
    <row r="36" spans="2:42">
      <c r="B36" s="2" t="s">
        <v>39</v>
      </c>
      <c r="C36" s="2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O36" s="15">
        <f t="shared" si="10"/>
        <v>0.2880991794907668</v>
      </c>
      <c r="AP36" s="16"/>
    </row>
    <row r="37" spans="2:42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O37" s="15">
        <f t="shared" si="10"/>
        <v>0.41976997018774376</v>
      </c>
      <c r="AP37" s="16"/>
    </row>
    <row r="38" spans="2:42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O38" s="15">
        <f t="shared" si="10"/>
        <v>0.16050254505440065</v>
      </c>
      <c r="AP38" s="16"/>
    </row>
    <row r="39" spans="2:42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O39" s="15">
        <f t="shared" si="10"/>
        <v>0.74474809232498496</v>
      </c>
      <c r="AP39" s="16"/>
    </row>
    <row r="40" spans="2:42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O40" s="15">
        <f t="shared" si="10"/>
        <v>0.67943594285172049</v>
      </c>
      <c r="AP40" s="16"/>
    </row>
    <row r="41" spans="2:42">
      <c r="B41" t="s">
        <v>54</v>
      </c>
      <c r="C41" s="2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O41" s="15">
        <f t="shared" si="10"/>
        <v>0.12914302698969116</v>
      </c>
      <c r="AP41" s="16"/>
    </row>
    <row r="42" spans="2:42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O42" s="15">
        <f t="shared" si="10"/>
        <v>0.68962128419392621</v>
      </c>
      <c r="AP42" s="16"/>
    </row>
    <row r="43" spans="2:42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O43" s="15">
        <f t="shared" si="10"/>
        <v>0.11789695221268159</v>
      </c>
      <c r="AP43" s="16"/>
    </row>
    <row r="44" spans="2:42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O44" s="15">
        <f t="shared" si="10"/>
        <v>0.29364934957684974</v>
      </c>
      <c r="AP44" s="16"/>
    </row>
    <row r="45" spans="2:42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O45" s="15">
        <f t="shared" si="10"/>
        <v>0.39961101058380755</v>
      </c>
      <c r="AP45" s="16"/>
    </row>
    <row r="46" spans="2:42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O46" s="15">
        <f t="shared" si="10"/>
        <v>0.38602144759932422</v>
      </c>
      <c r="AP46" s="16"/>
    </row>
    <row r="47" spans="2:42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O47" s="15">
        <f t="shared" si="10"/>
        <v>0.46724021855504594</v>
      </c>
      <c r="AP47" s="16"/>
    </row>
    <row r="48" spans="2:42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O48" s="15">
        <f t="shared" si="10"/>
        <v>1.1465155916116183</v>
      </c>
      <c r="AP48" s="16"/>
    </row>
    <row r="49" spans="2:42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O49" s="15">
        <f t="shared" si="10"/>
        <v>0.58586730376054064</v>
      </c>
      <c r="AP49" s="16"/>
    </row>
    <row r="50" spans="2:42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O50" s="15">
        <f t="shared" si="10"/>
        <v>0.70336551066813113</v>
      </c>
      <c r="AP50" s="16"/>
    </row>
    <row r="51" spans="2:42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O51" s="15">
        <f t="shared" si="10"/>
        <v>0.41334557985145048</v>
      </c>
      <c r="AP51" s="16"/>
    </row>
    <row r="52" spans="2:42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O52" s="15">
        <f t="shared" si="10"/>
        <v>1.0073004895788311</v>
      </c>
      <c r="AP52" s="16"/>
    </row>
    <row r="53" spans="2:42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O53" s="15"/>
      <c r="AP53" s="16"/>
    </row>
    <row r="54" spans="2:42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O54" s="15">
        <f t="shared" si="10"/>
        <v>0.68906389072638929</v>
      </c>
      <c r="AP54" s="16"/>
    </row>
    <row r="55" spans="2:42">
      <c r="B55" s="2" t="s">
        <v>46</v>
      </c>
      <c r="C55" s="2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O55" s="15">
        <f t="shared" si="10"/>
        <v>0.4656580612516914</v>
      </c>
      <c r="AP55" s="16"/>
    </row>
    <row r="56" spans="2:42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O56" s="15">
        <f t="shared" si="10"/>
        <v>0.39080984950644537</v>
      </c>
      <c r="AP56" s="16"/>
    </row>
    <row r="57" spans="2:42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O57" s="15">
        <f t="shared" si="10"/>
        <v>0.47918134946355906</v>
      </c>
      <c r="AP57" s="16"/>
    </row>
    <row r="58" spans="2:42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O58" s="15">
        <f t="shared" si="10"/>
        <v>0.63457780044654277</v>
      </c>
      <c r="AP58" s="16"/>
    </row>
    <row r="59" spans="2:42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O59" s="15">
        <f t="shared" si="10"/>
        <v>0.69400830640155631</v>
      </c>
      <c r="AP59" s="16"/>
    </row>
    <row r="60" spans="2:42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O60" s="15">
        <f t="shared" si="10"/>
        <v>0.67871913110464366</v>
      </c>
      <c r="AP60" s="16"/>
    </row>
    <row r="61" spans="2:42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O61" s="15">
        <f t="shared" si="10"/>
        <v>1.5398636346581527</v>
      </c>
      <c r="AP61" s="16"/>
    </row>
    <row r="62" spans="2:42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O62" s="15">
        <f t="shared" si="10"/>
        <v>18.949639891523791</v>
      </c>
      <c r="AP62" s="16"/>
    </row>
    <row r="63" spans="2:42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O63" s="15">
        <f t="shared" si="10"/>
        <v>0.67436909621469732</v>
      </c>
      <c r="AP63" s="16"/>
    </row>
    <row r="64" spans="2:42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O64" s="15">
        <f t="shared" si="10"/>
        <v>1.35822157861642</v>
      </c>
      <c r="AP64" s="16"/>
    </row>
    <row r="65" spans="2:42">
      <c r="B65" t="s">
        <v>108</v>
      </c>
      <c r="C65" t="s">
        <v>207</v>
      </c>
      <c r="D65">
        <v>222907328</v>
      </c>
      <c r="E65">
        <v>669680485.51040006</v>
      </c>
      <c r="F65">
        <f t="shared" si="0"/>
        <v>892587813.51040006</v>
      </c>
      <c r="G65">
        <v>222907328</v>
      </c>
      <c r="H65">
        <v>669680485.51040006</v>
      </c>
      <c r="I65">
        <f t="shared" si="1"/>
        <v>892587813.51040006</v>
      </c>
      <c r="J65">
        <v>222907328</v>
      </c>
      <c r="K65">
        <v>669680485.51040006</v>
      </c>
      <c r="L65">
        <f t="shared" si="2"/>
        <v>892587813.51040006</v>
      </c>
      <c r="M65">
        <v>222907328</v>
      </c>
      <c r="N65">
        <v>669680485.51040006</v>
      </c>
      <c r="O65">
        <f t="shared" si="3"/>
        <v>892587813.51040006</v>
      </c>
      <c r="P65">
        <v>222907328</v>
      </c>
      <c r="Q65">
        <v>669680485.51040006</v>
      </c>
      <c r="R65">
        <f t="shared" si="4"/>
        <v>892587813.51040006</v>
      </c>
      <c r="S65">
        <v>222907328</v>
      </c>
      <c r="T65">
        <v>669680485.51040006</v>
      </c>
      <c r="U65">
        <f t="shared" si="5"/>
        <v>892587813.51040006</v>
      </c>
      <c r="V65">
        <v>222907328</v>
      </c>
      <c r="W65">
        <v>669680485.51040006</v>
      </c>
      <c r="X65">
        <f t="shared" si="6"/>
        <v>892587813.51040006</v>
      </c>
      <c r="Y65">
        <v>222907328</v>
      </c>
      <c r="Z65">
        <v>669680485.51040006</v>
      </c>
      <c r="AA65">
        <f t="shared" si="7"/>
        <v>892587813.51040006</v>
      </c>
      <c r="AB65">
        <v>222907328</v>
      </c>
      <c r="AC65">
        <v>669680485.51040006</v>
      </c>
      <c r="AD65">
        <f t="shared" si="8"/>
        <v>892587813.51040006</v>
      </c>
      <c r="AE65">
        <v>222907328</v>
      </c>
      <c r="AF65">
        <v>669680485.51040006</v>
      </c>
      <c r="AG65">
        <f t="shared" si="9"/>
        <v>892587813.51040006</v>
      </c>
      <c r="AH65">
        <v>245079418</v>
      </c>
      <c r="AI65">
        <v>795674838.47880006</v>
      </c>
      <c r="AJ65">
        <f>SUM($AH$65+$AI$65)</f>
        <v>1040754256.4788001</v>
      </c>
      <c r="AK65">
        <v>320982086</v>
      </c>
      <c r="AL65">
        <v>1236358798.8548</v>
      </c>
      <c r="AM65">
        <f>SUM($AK$65+$AL$65)</f>
        <v>1557340884.8548</v>
      </c>
      <c r="AO65" s="15">
        <f t="shared" si="10"/>
        <v>0.74474809232498496</v>
      </c>
      <c r="AP65" s="16"/>
    </row>
    <row r="66" spans="2:42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O66" s="15">
        <f t="shared" si="10"/>
        <v>0.60345097423215432</v>
      </c>
      <c r="AP66" s="16"/>
    </row>
    <row r="67" spans="2:42">
      <c r="B67" t="s">
        <v>192</v>
      </c>
      <c r="C67" t="s">
        <v>191</v>
      </c>
      <c r="D67">
        <v>96818778</v>
      </c>
      <c r="E67">
        <v>86749625.088</v>
      </c>
      <c r="F67">
        <f t="shared" ref="F67" si="11">SUM(D67+E67)</f>
        <v>183568403.088</v>
      </c>
      <c r="G67">
        <v>96818778</v>
      </c>
      <c r="H67">
        <v>86749625.088</v>
      </c>
      <c r="I67">
        <f t="shared" ref="I67" si="12">SUM(G67+H67)</f>
        <v>183568403.088</v>
      </c>
      <c r="J67">
        <v>96818778</v>
      </c>
      <c r="K67">
        <v>86749625.088</v>
      </c>
      <c r="L67">
        <f t="shared" ref="L67" si="13">SUM(J67+K67)</f>
        <v>183568403.088</v>
      </c>
      <c r="M67">
        <v>96818778</v>
      </c>
      <c r="N67">
        <v>86749625.088</v>
      </c>
      <c r="O67">
        <f t="shared" ref="O67" si="14">SUM(M67+N67)</f>
        <v>183568403.088</v>
      </c>
      <c r="P67">
        <v>96818778</v>
      </c>
      <c r="Q67">
        <v>86749625.088</v>
      </c>
      <c r="R67">
        <f t="shared" ref="R67" si="15">SUM(P67+Q67)</f>
        <v>183568403.088</v>
      </c>
      <c r="S67">
        <v>96818778</v>
      </c>
      <c r="T67">
        <v>86749625.088</v>
      </c>
      <c r="U67">
        <f t="shared" ref="U67" si="16">SUM(S67+T67)</f>
        <v>183568403.088</v>
      </c>
      <c r="V67">
        <v>96818778</v>
      </c>
      <c r="W67">
        <v>86749625.088</v>
      </c>
      <c r="X67">
        <f t="shared" ref="X67" si="17">SUM(V67+W67)</f>
        <v>183568403.088</v>
      </c>
      <c r="Y67">
        <v>96818778</v>
      </c>
      <c r="Z67">
        <v>86749625.088</v>
      </c>
      <c r="AA67">
        <f t="shared" ref="AA67" si="18">SUM(Y67+Z67)</f>
        <v>183568403.088</v>
      </c>
      <c r="AB67">
        <v>96818778</v>
      </c>
      <c r="AC67">
        <v>86749625.088</v>
      </c>
      <c r="AD67">
        <f t="shared" ref="AD67" si="19">SUM(AB67+AC67)</f>
        <v>183568403.088</v>
      </c>
      <c r="AE67">
        <v>96818778</v>
      </c>
      <c r="AF67">
        <v>86749625.088</v>
      </c>
      <c r="AG67">
        <f t="shared" ref="AG67" si="20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O67" s="15">
        <f t="shared" si="10"/>
        <v>0.74970058700149145</v>
      </c>
      <c r="AP67" s="16"/>
    </row>
    <row r="68" spans="2:42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1">SUM($D$68+$E$68)</f>
        <v>4024264251.5047998</v>
      </c>
      <c r="J68">
        <v>484378408</v>
      </c>
      <c r="K68">
        <v>3539885843.5047998</v>
      </c>
      <c r="L68">
        <f t="shared" ref="L68" si="22">SUM($D$68+$E$68)</f>
        <v>4024264251.5047998</v>
      </c>
      <c r="M68">
        <v>484378408</v>
      </c>
      <c r="N68">
        <v>3539885843.5047998</v>
      </c>
      <c r="O68">
        <f t="shared" ref="O68" si="23">SUM($D$68+$E$68)</f>
        <v>4024264251.5047998</v>
      </c>
      <c r="P68">
        <v>484378408</v>
      </c>
      <c r="Q68">
        <v>3539885843.5047998</v>
      </c>
      <c r="R68">
        <f t="shared" ref="R68" si="24">SUM($D$68+$E$68)</f>
        <v>4024264251.5047998</v>
      </c>
      <c r="S68">
        <v>484378408</v>
      </c>
      <c r="T68">
        <v>3539885843.5047998</v>
      </c>
      <c r="U68">
        <f t="shared" ref="U68" si="25">SUM($D$68+$E$68)</f>
        <v>4024264251.5047998</v>
      </c>
      <c r="V68">
        <v>484378408</v>
      </c>
      <c r="W68">
        <v>3539885843.5047998</v>
      </c>
      <c r="X68">
        <f t="shared" ref="X68" si="26">SUM($D$68+$E$68)</f>
        <v>4024264251.5047998</v>
      </c>
      <c r="Y68">
        <v>484378408</v>
      </c>
      <c r="Z68">
        <v>3539885843.5047998</v>
      </c>
      <c r="AA68">
        <f t="shared" ref="AA68" si="27">SUM($D$68+$E$68)</f>
        <v>4024264251.5047998</v>
      </c>
      <c r="AB68">
        <v>484378408</v>
      </c>
      <c r="AC68">
        <v>3539885843.5047998</v>
      </c>
      <c r="AD68">
        <f t="shared" ref="AD68" si="28">SUM($D$68+$E$68)</f>
        <v>4024264251.5047998</v>
      </c>
      <c r="AE68">
        <v>484378408</v>
      </c>
      <c r="AF68">
        <v>3539885843.5047998</v>
      </c>
      <c r="AG68">
        <f t="shared" ref="AG68" si="29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O68" s="15">
        <f t="shared" ref="AO68:AO98" si="30">AM68/AG68-1</f>
        <v>0.50114367828727424</v>
      </c>
      <c r="AP68" s="16"/>
    </row>
    <row r="69" spans="2:42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31">SUM($D$69+$E$69)</f>
        <v>1415490080.4004002</v>
      </c>
      <c r="J69">
        <v>334742014</v>
      </c>
      <c r="K69">
        <v>1080748066.4004002</v>
      </c>
      <c r="L69">
        <f t="shared" ref="L69" si="32">SUM($D$69+$E$69)</f>
        <v>1415490080.4004002</v>
      </c>
      <c r="M69">
        <v>334742014</v>
      </c>
      <c r="N69">
        <v>1080748066.4004002</v>
      </c>
      <c r="O69">
        <f t="shared" ref="O69" si="33">SUM($D$69+$E$69)</f>
        <v>1415490080.4004002</v>
      </c>
      <c r="P69">
        <v>334742014</v>
      </c>
      <c r="Q69">
        <v>1080748066.4004002</v>
      </c>
      <c r="R69">
        <f t="shared" ref="R69" si="34">SUM($D$69+$E$69)</f>
        <v>1415490080.4004002</v>
      </c>
      <c r="S69">
        <v>334742014</v>
      </c>
      <c r="T69">
        <v>1080748066.4004002</v>
      </c>
      <c r="U69">
        <f t="shared" ref="U69" si="35">SUM($D$69+$E$69)</f>
        <v>1415490080.4004002</v>
      </c>
      <c r="V69">
        <v>334742014</v>
      </c>
      <c r="W69">
        <v>1080748066.4004002</v>
      </c>
      <c r="X69">
        <f t="shared" ref="X69" si="36">SUM($D$69+$E$69)</f>
        <v>1415490080.4004002</v>
      </c>
      <c r="Y69">
        <v>334742014</v>
      </c>
      <c r="Z69">
        <v>1080748066.4004002</v>
      </c>
      <c r="AA69">
        <f t="shared" ref="AA69" si="37">SUM($D$69+$E$69)</f>
        <v>1415490080.4004002</v>
      </c>
      <c r="AB69">
        <v>334742014</v>
      </c>
      <c r="AC69">
        <v>1080748066.4004002</v>
      </c>
      <c r="AD69">
        <f t="shared" ref="AD69" si="38">SUM($D$69+$E$69)</f>
        <v>1415490080.4004002</v>
      </c>
      <c r="AE69">
        <v>334742014</v>
      </c>
      <c r="AF69">
        <v>1080748066.4004002</v>
      </c>
      <c r="AG69">
        <f t="shared" ref="AG69" si="39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O69" s="15">
        <f t="shared" si="30"/>
        <v>0.34418699458267299</v>
      </c>
      <c r="AP69" s="16"/>
    </row>
    <row r="70" spans="2:42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40">SUM($D$70+$E$70)</f>
        <v>966890348.51800001</v>
      </c>
      <c r="J70">
        <v>203513018</v>
      </c>
      <c r="K70">
        <v>763377330.51800001</v>
      </c>
      <c r="L70">
        <f t="shared" ref="L70" si="41">SUM($D$70+$E$70)</f>
        <v>966890348.51800001</v>
      </c>
      <c r="M70">
        <v>203513018</v>
      </c>
      <c r="N70">
        <v>763377330.51800001</v>
      </c>
      <c r="O70">
        <f t="shared" ref="O70" si="42">SUM($D$70+$E$70)</f>
        <v>966890348.51800001</v>
      </c>
      <c r="P70">
        <v>203513018</v>
      </c>
      <c r="Q70">
        <v>763377330.51800001</v>
      </c>
      <c r="R70">
        <f t="shared" ref="R70" si="43">SUM($D$70+$E$70)</f>
        <v>966890348.51800001</v>
      </c>
      <c r="S70">
        <v>203513018</v>
      </c>
      <c r="T70">
        <v>763377330.51800001</v>
      </c>
      <c r="U70">
        <f t="shared" ref="U70" si="44">SUM($D$70+$E$70)</f>
        <v>966890348.51800001</v>
      </c>
      <c r="V70">
        <v>203513018</v>
      </c>
      <c r="W70">
        <v>763377330.51800001</v>
      </c>
      <c r="X70">
        <f t="shared" ref="X70" si="45">SUM($D$70+$E$70)</f>
        <v>966890348.51800001</v>
      </c>
      <c r="Y70">
        <v>203513018</v>
      </c>
      <c r="Z70">
        <v>763377330.51800001</v>
      </c>
      <c r="AA70">
        <f t="shared" ref="AA70" si="46">SUM($D$70+$E$70)</f>
        <v>966890348.51800001</v>
      </c>
      <c r="AB70">
        <v>203513018</v>
      </c>
      <c r="AC70">
        <v>763377330.51800001</v>
      </c>
      <c r="AD70">
        <f t="shared" ref="AD70" si="47">SUM($D$70+$E$70)</f>
        <v>966890348.51800001</v>
      </c>
      <c r="AE70">
        <v>203513018</v>
      </c>
      <c r="AF70">
        <v>763377330.51800001</v>
      </c>
      <c r="AG70">
        <f t="shared" ref="AG70" si="48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O70" s="15">
        <f t="shared" si="30"/>
        <v>0.56845090621086891</v>
      </c>
      <c r="AP70" s="16"/>
    </row>
    <row r="71" spans="2:42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9">SUM($D$71+$E$71)</f>
        <v>908067099.00320005</v>
      </c>
      <c r="J71">
        <v>201354184</v>
      </c>
      <c r="K71">
        <v>706712915.00320005</v>
      </c>
      <c r="L71">
        <f t="shared" ref="L71" si="50">SUM($D$71+$E$71)</f>
        <v>908067099.00320005</v>
      </c>
      <c r="M71">
        <v>201354184</v>
      </c>
      <c r="N71">
        <v>706712915.00320005</v>
      </c>
      <c r="O71">
        <f t="shared" ref="O71" si="51">SUM($D$71+$E$71)</f>
        <v>908067099.00320005</v>
      </c>
      <c r="P71">
        <v>201354184</v>
      </c>
      <c r="Q71">
        <v>706712915.00320005</v>
      </c>
      <c r="R71">
        <f t="shared" ref="R71" si="52">SUM($D$71+$E$71)</f>
        <v>908067099.00320005</v>
      </c>
      <c r="S71">
        <v>201354184</v>
      </c>
      <c r="T71">
        <v>706712915.00320005</v>
      </c>
      <c r="U71">
        <f t="shared" ref="U71" si="53">SUM($D$71+$E$71)</f>
        <v>908067099.00320005</v>
      </c>
      <c r="V71">
        <v>201354184</v>
      </c>
      <c r="W71">
        <v>706712915.00320005</v>
      </c>
      <c r="X71">
        <f t="shared" ref="X71" si="54">SUM($D$71+$E$71)</f>
        <v>908067099.00320005</v>
      </c>
      <c r="Y71">
        <v>201354184</v>
      </c>
      <c r="Z71">
        <v>706712915.00320005</v>
      </c>
      <c r="AA71">
        <f t="shared" ref="AA71" si="55">SUM($D$71+$E$71)</f>
        <v>908067099.00320005</v>
      </c>
      <c r="AB71">
        <v>201354184</v>
      </c>
      <c r="AC71">
        <v>706712915.00320005</v>
      </c>
      <c r="AD71">
        <f t="shared" ref="AD71" si="56">SUM($D$71+$E$71)</f>
        <v>908067099.00320005</v>
      </c>
      <c r="AE71">
        <v>201354184</v>
      </c>
      <c r="AF71">
        <v>706712915.00320005</v>
      </c>
      <c r="AG71">
        <f t="shared" ref="AG71" si="57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O71" s="15">
        <f t="shared" si="30"/>
        <v>0.57693422474284994</v>
      </c>
      <c r="AP71" s="16"/>
    </row>
    <row r="72" spans="2:42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8">SUM($D$72+$E$72)</f>
        <v>8845179322.0445995</v>
      </c>
      <c r="J72">
        <v>981118899</v>
      </c>
      <c r="K72">
        <v>7864060423.0445995</v>
      </c>
      <c r="L72">
        <f t="shared" ref="L72" si="59">SUM($D$72+$E$72)</f>
        <v>8845179322.0445995</v>
      </c>
      <c r="M72">
        <v>981118899</v>
      </c>
      <c r="N72">
        <v>7864060423.0445995</v>
      </c>
      <c r="O72">
        <f t="shared" ref="O72" si="60">SUM($D$72+$E$72)</f>
        <v>8845179322.0445995</v>
      </c>
      <c r="P72">
        <v>981118899</v>
      </c>
      <c r="Q72">
        <v>7864060423.0445995</v>
      </c>
      <c r="R72">
        <f t="shared" ref="R72" si="61">SUM($D$72+$E$72)</f>
        <v>8845179322.0445995</v>
      </c>
      <c r="S72">
        <v>981118899</v>
      </c>
      <c r="T72">
        <v>7864060423.0445995</v>
      </c>
      <c r="U72">
        <f t="shared" ref="U72" si="62">SUM($D$72+$E$72)</f>
        <v>8845179322.0445995</v>
      </c>
      <c r="V72">
        <v>981118899</v>
      </c>
      <c r="W72">
        <v>7864060423.0445995</v>
      </c>
      <c r="X72">
        <f t="shared" ref="X72" si="63">SUM($D$72+$E$72)</f>
        <v>8845179322.0445995</v>
      </c>
      <c r="Y72">
        <v>981118899</v>
      </c>
      <c r="Z72">
        <v>7864060423.0445995</v>
      </c>
      <c r="AA72">
        <f t="shared" ref="AA72" si="64">SUM($D$72+$E$72)</f>
        <v>8845179322.0445995</v>
      </c>
      <c r="AB72">
        <v>981118899</v>
      </c>
      <c r="AC72">
        <v>7864060423.0445995</v>
      </c>
      <c r="AD72">
        <f t="shared" ref="AD72" si="65">SUM($D$72+$E$72)</f>
        <v>8845179322.0445995</v>
      </c>
      <c r="AE72">
        <v>981118899</v>
      </c>
      <c r="AF72">
        <v>7864060423.0445995</v>
      </c>
      <c r="AG72">
        <f t="shared" ref="AG72" si="66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O72" s="15">
        <f t="shared" si="30"/>
        <v>0.68932424599251751</v>
      </c>
      <c r="AP72" s="16"/>
    </row>
    <row r="73" spans="2:42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7">SUM($D$73+$E$73)</f>
        <v>70446542.49000001</v>
      </c>
      <c r="J73">
        <v>34634485</v>
      </c>
      <c r="K73">
        <v>35812057.490000002</v>
      </c>
      <c r="L73">
        <f t="shared" ref="L73" si="68">SUM($D$73+$E$73)</f>
        <v>70446542.49000001</v>
      </c>
      <c r="M73">
        <v>34634485</v>
      </c>
      <c r="N73">
        <v>35812057.490000002</v>
      </c>
      <c r="O73">
        <f t="shared" ref="O73" si="69">SUM($D$73+$E$73)</f>
        <v>70446542.49000001</v>
      </c>
      <c r="P73">
        <v>34634485</v>
      </c>
      <c r="Q73">
        <v>35812057.490000002</v>
      </c>
      <c r="R73">
        <f t="shared" ref="R73" si="70">SUM($D$73+$E$73)</f>
        <v>70446542.49000001</v>
      </c>
      <c r="S73">
        <v>34634485</v>
      </c>
      <c r="T73">
        <v>35812057.490000002</v>
      </c>
      <c r="U73">
        <f t="shared" ref="U73" si="71">SUM($D$73+$E$73)</f>
        <v>70446542.49000001</v>
      </c>
      <c r="V73">
        <v>34634485</v>
      </c>
      <c r="W73">
        <v>35812057.490000002</v>
      </c>
      <c r="X73">
        <f t="shared" ref="X73" si="72">SUM($D$73+$E$73)</f>
        <v>70446542.49000001</v>
      </c>
      <c r="Y73">
        <v>34634485</v>
      </c>
      <c r="Z73">
        <v>35812057.490000002</v>
      </c>
      <c r="AA73">
        <f t="shared" ref="AA73" si="73">SUM($D$73+$E$73)</f>
        <v>70446542.49000001</v>
      </c>
      <c r="AB73">
        <v>34634485</v>
      </c>
      <c r="AC73">
        <v>35812057.490000002</v>
      </c>
      <c r="AD73">
        <f t="shared" ref="AD73" si="74">SUM($D$73+$E$73)</f>
        <v>70446542.49000001</v>
      </c>
      <c r="AE73">
        <v>34634485</v>
      </c>
      <c r="AF73">
        <v>35812057.490000002</v>
      </c>
      <c r="AG73">
        <f t="shared" ref="AG73" si="75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O73" s="15">
        <f t="shared" si="30"/>
        <v>0.2950165222537382</v>
      </c>
      <c r="AP73" s="16"/>
    </row>
    <row r="74" spans="2:42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6">SUM($D$74+$E$74)</f>
        <v>304520835.204</v>
      </c>
      <c r="J74">
        <v>116965944</v>
      </c>
      <c r="K74">
        <v>187554891.204</v>
      </c>
      <c r="L74">
        <f t="shared" ref="L74" si="77">SUM($D$74+$E$74)</f>
        <v>304520835.204</v>
      </c>
      <c r="M74">
        <v>116965944</v>
      </c>
      <c r="N74">
        <v>187554891.204</v>
      </c>
      <c r="O74">
        <f t="shared" ref="O74" si="78">SUM($D$74+$E$74)</f>
        <v>304520835.204</v>
      </c>
      <c r="P74">
        <v>116965944</v>
      </c>
      <c r="Q74">
        <v>187554891.204</v>
      </c>
      <c r="R74">
        <f t="shared" ref="R74" si="79">SUM($D$74+$E$74)</f>
        <v>304520835.204</v>
      </c>
      <c r="S74">
        <v>116965944</v>
      </c>
      <c r="T74">
        <v>187554891.204</v>
      </c>
      <c r="U74">
        <f t="shared" ref="U74" si="80">SUM($D$74+$E$74)</f>
        <v>304520835.204</v>
      </c>
      <c r="V74">
        <v>116965944</v>
      </c>
      <c r="W74">
        <v>187554891.204</v>
      </c>
      <c r="X74">
        <f t="shared" ref="X74" si="81">SUM($D$74+$E$74)</f>
        <v>304520835.204</v>
      </c>
      <c r="Y74">
        <v>116965944</v>
      </c>
      <c r="Z74">
        <v>187554891.204</v>
      </c>
      <c r="AA74">
        <f t="shared" ref="AA74" si="82">SUM($D$74+$E$74)</f>
        <v>304520835.204</v>
      </c>
      <c r="AB74">
        <v>116965944</v>
      </c>
      <c r="AC74">
        <v>187554891.204</v>
      </c>
      <c r="AD74">
        <f t="shared" ref="AD74" si="83">SUM($D$74+$E$74)</f>
        <v>304520835.204</v>
      </c>
      <c r="AE74">
        <v>116965944</v>
      </c>
      <c r="AF74">
        <v>187554891.204</v>
      </c>
      <c r="AG74">
        <f t="shared" ref="AG74" si="84">SUM($D$74+$E$74)</f>
        <v>304520835.204</v>
      </c>
      <c r="AH74">
        <v>116965944</v>
      </c>
      <c r="AI74">
        <v>187554891.204</v>
      </c>
      <c r="AJ74">
        <f t="shared" ref="AJ74" si="85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O74" s="15">
        <f t="shared" si="30"/>
        <v>0.49333869681579889</v>
      </c>
      <c r="AP74" s="16"/>
    </row>
    <row r="75" spans="2:42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6">SUM($D$75+$E$75)</f>
        <v>387076236.1239</v>
      </c>
      <c r="J75">
        <v>125376943</v>
      </c>
      <c r="K75">
        <v>261699293.1239</v>
      </c>
      <c r="L75">
        <f t="shared" ref="L75" si="87">SUM($D$75+$E$75)</f>
        <v>387076236.1239</v>
      </c>
      <c r="M75">
        <v>125376943</v>
      </c>
      <c r="N75">
        <v>261699293.1239</v>
      </c>
      <c r="O75">
        <f t="shared" ref="O75" si="88">SUM($D$75+$E$75)</f>
        <v>387076236.1239</v>
      </c>
      <c r="P75">
        <v>125376943</v>
      </c>
      <c r="Q75">
        <v>261699293.1239</v>
      </c>
      <c r="R75">
        <f t="shared" ref="R75" si="89">SUM($D$75+$E$75)</f>
        <v>387076236.1239</v>
      </c>
      <c r="S75">
        <v>125376943</v>
      </c>
      <c r="T75">
        <v>261699293.1239</v>
      </c>
      <c r="U75">
        <f t="shared" ref="U75" si="90">SUM($D$75+$E$75)</f>
        <v>387076236.1239</v>
      </c>
      <c r="V75">
        <v>125376943</v>
      </c>
      <c r="W75">
        <v>261699293.1239</v>
      </c>
      <c r="X75">
        <f t="shared" ref="X75" si="91">SUM($D$75+$E$75)</f>
        <v>387076236.1239</v>
      </c>
      <c r="Y75">
        <v>125376943</v>
      </c>
      <c r="Z75">
        <v>261699293.1239</v>
      </c>
      <c r="AA75">
        <f t="shared" ref="AA75" si="92">SUM($D$75+$E$75)</f>
        <v>387076236.1239</v>
      </c>
      <c r="AB75">
        <v>125376943</v>
      </c>
      <c r="AC75">
        <v>261699293.1239</v>
      </c>
      <c r="AD75">
        <f t="shared" ref="AD75" si="93">SUM($D$75+$E$75)</f>
        <v>387076236.1239</v>
      </c>
      <c r="AE75">
        <v>125376943</v>
      </c>
      <c r="AF75">
        <v>261699293.1239</v>
      </c>
      <c r="AG75">
        <f t="shared" ref="AG75" si="94">SUM($D$75+$E$75)</f>
        <v>387076236.1239</v>
      </c>
      <c r="AH75">
        <v>125376943</v>
      </c>
      <c r="AI75">
        <v>261699293.1239</v>
      </c>
      <c r="AJ75">
        <f t="shared" ref="AJ75" si="95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O75" s="15">
        <f t="shared" si="30"/>
        <v>0.4668339657324232</v>
      </c>
      <c r="AP75" s="16"/>
    </row>
    <row r="76" spans="2:42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6">SUM($D$76+$E$76)</f>
        <v>1799840364.03</v>
      </c>
      <c r="J76">
        <v>311930739</v>
      </c>
      <c r="K76">
        <v>1487909625.03</v>
      </c>
      <c r="L76">
        <f t="shared" ref="L76" si="97">SUM($D$76+$E$76)</f>
        <v>1799840364.03</v>
      </c>
      <c r="M76">
        <v>311930739</v>
      </c>
      <c r="N76">
        <v>1487909625.03</v>
      </c>
      <c r="O76">
        <f t="shared" ref="O76" si="98">SUM($D$76+$E$76)</f>
        <v>1799840364.03</v>
      </c>
      <c r="P76">
        <v>311930739</v>
      </c>
      <c r="Q76">
        <v>1487909625.03</v>
      </c>
      <c r="R76">
        <f t="shared" ref="R76" si="99">SUM($D$76+$E$76)</f>
        <v>1799840364.03</v>
      </c>
      <c r="S76">
        <v>311930739</v>
      </c>
      <c r="T76">
        <v>1487909625.03</v>
      </c>
      <c r="U76">
        <f t="shared" ref="U76" si="100">SUM($D$76+$E$76)</f>
        <v>1799840364.03</v>
      </c>
      <c r="V76">
        <v>311930739</v>
      </c>
      <c r="W76">
        <v>1487909625.03</v>
      </c>
      <c r="X76">
        <f t="shared" ref="X76" si="101">SUM($D$76+$E$76)</f>
        <v>1799840364.03</v>
      </c>
      <c r="Y76">
        <v>311930739</v>
      </c>
      <c r="Z76">
        <v>1487909625.03</v>
      </c>
      <c r="AA76">
        <f t="shared" ref="AA76" si="102">SUM($D$76+$E$76)</f>
        <v>1799840364.03</v>
      </c>
      <c r="AB76">
        <v>311930739</v>
      </c>
      <c r="AC76">
        <v>1487909625.03</v>
      </c>
      <c r="AD76">
        <f t="shared" ref="AD76" si="103">SUM($D$76+$E$76)</f>
        <v>1799840364.03</v>
      </c>
      <c r="AE76">
        <v>311930739</v>
      </c>
      <c r="AF76">
        <v>1487909625.03</v>
      </c>
      <c r="AG76">
        <f t="shared" ref="AG76" si="104">SUM($D$76+$E$76)</f>
        <v>1799840364.03</v>
      </c>
      <c r="AH76">
        <v>311930739</v>
      </c>
      <c r="AI76">
        <v>1487909625.03</v>
      </c>
      <c r="AJ76">
        <f t="shared" ref="AJ76" si="105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O76" s="15">
        <f t="shared" si="30"/>
        <v>0.62196361077856177</v>
      </c>
      <c r="AP76" s="16"/>
    </row>
    <row r="77" spans="2:42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6">SUM($D$77+$E$77)</f>
        <v>231151937.51429999</v>
      </c>
      <c r="J77">
        <v>75399399</v>
      </c>
      <c r="K77">
        <v>155752538.51429999</v>
      </c>
      <c r="L77">
        <f t="shared" ref="L77" si="107">SUM($D$77+$E$77)</f>
        <v>231151937.51429999</v>
      </c>
      <c r="M77">
        <v>75399399</v>
      </c>
      <c r="N77">
        <v>155752538.51429999</v>
      </c>
      <c r="O77">
        <f t="shared" ref="O77" si="108">SUM($D$77+$E$77)</f>
        <v>231151937.51429999</v>
      </c>
      <c r="P77">
        <v>75399399</v>
      </c>
      <c r="Q77">
        <v>155752538.51429999</v>
      </c>
      <c r="R77">
        <f t="shared" ref="R77" si="109">SUM($D$77+$E$77)</f>
        <v>231151937.51429999</v>
      </c>
      <c r="S77">
        <v>75399399</v>
      </c>
      <c r="T77">
        <v>155752538.51429999</v>
      </c>
      <c r="U77">
        <f t="shared" ref="U77" si="110">SUM($D$77+$E$77)</f>
        <v>231151937.51429999</v>
      </c>
      <c r="V77">
        <v>75399399</v>
      </c>
      <c r="W77">
        <v>155752538.51429999</v>
      </c>
      <c r="X77">
        <f t="shared" ref="X77" si="111">SUM($D$77+$E$77)</f>
        <v>231151937.51429999</v>
      </c>
      <c r="Y77">
        <v>75399399</v>
      </c>
      <c r="Z77">
        <v>155752538.51429999</v>
      </c>
      <c r="AA77">
        <f t="shared" ref="AA77" si="112">SUM($D$77+$E$77)</f>
        <v>231151937.51429999</v>
      </c>
      <c r="AB77">
        <v>75399399</v>
      </c>
      <c r="AC77">
        <v>155752538.51429999</v>
      </c>
      <c r="AD77">
        <f t="shared" ref="AD77" si="113">SUM($D$77+$E$77)</f>
        <v>231151937.51429999</v>
      </c>
      <c r="AE77">
        <v>75399399</v>
      </c>
      <c r="AF77">
        <v>155752538.51429999</v>
      </c>
      <c r="AG77">
        <f t="shared" ref="AG77" si="114">SUM($D$77+$E$77)</f>
        <v>231151937.51429999</v>
      </c>
      <c r="AH77">
        <v>75399399</v>
      </c>
      <c r="AI77">
        <v>155752538.51429999</v>
      </c>
      <c r="AJ77">
        <f t="shared" ref="AJ77" si="115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O77" s="15">
        <f t="shared" si="30"/>
        <v>2.0710677881870829</v>
      </c>
      <c r="AP77" s="16"/>
    </row>
    <row r="78" spans="2:42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6">SUM($D$78+$E$78)</f>
        <v>506510558.98879999</v>
      </c>
      <c r="J78">
        <v>203450578</v>
      </c>
      <c r="K78">
        <v>303059980.98879999</v>
      </c>
      <c r="L78">
        <f t="shared" ref="L78" si="117">SUM($D$78+$E$78)</f>
        <v>506510558.98879999</v>
      </c>
      <c r="M78">
        <v>203450578</v>
      </c>
      <c r="N78">
        <v>303059980.98879999</v>
      </c>
      <c r="O78">
        <f t="shared" ref="O78" si="118">SUM($D$78+$E$78)</f>
        <v>506510558.98879999</v>
      </c>
      <c r="P78">
        <v>203450578</v>
      </c>
      <c r="Q78">
        <v>303059980.98879999</v>
      </c>
      <c r="R78">
        <f t="shared" ref="R78" si="119">SUM($D$78+$E$78)</f>
        <v>506510558.98879999</v>
      </c>
      <c r="S78">
        <v>203450578</v>
      </c>
      <c r="T78">
        <v>303059980.98879999</v>
      </c>
      <c r="U78">
        <f t="shared" ref="U78" si="120">SUM($D$78+$E$78)</f>
        <v>506510558.98879999</v>
      </c>
      <c r="V78">
        <v>203450578</v>
      </c>
      <c r="W78">
        <v>303059980.98879999</v>
      </c>
      <c r="X78">
        <f t="shared" ref="X78" si="121">SUM($D$78+$E$78)</f>
        <v>506510558.98879999</v>
      </c>
      <c r="Y78">
        <v>203450578</v>
      </c>
      <c r="Z78">
        <v>303059980.98879999</v>
      </c>
      <c r="AA78">
        <f t="shared" ref="AA78" si="122">SUM($D$78+$E$78)</f>
        <v>506510558.98879999</v>
      </c>
      <c r="AB78">
        <v>203450578</v>
      </c>
      <c r="AC78">
        <v>303059980.98879999</v>
      </c>
      <c r="AD78">
        <f t="shared" ref="AD78" si="123">SUM($D$78+$E$78)</f>
        <v>506510558.98879999</v>
      </c>
      <c r="AE78">
        <v>203450578</v>
      </c>
      <c r="AF78">
        <v>303059980.98879999</v>
      </c>
      <c r="AG78">
        <f t="shared" ref="AG78" si="124">SUM($D$78+$E$78)</f>
        <v>506510558.98879999</v>
      </c>
      <c r="AH78">
        <v>203450578</v>
      </c>
      <c r="AI78">
        <v>303059980.98879999</v>
      </c>
      <c r="AJ78">
        <f t="shared" ref="AJ78" si="125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O78" s="15">
        <f t="shared" si="30"/>
        <v>0.24285989899515581</v>
      </c>
      <c r="AP78" s="16"/>
    </row>
    <row r="79" spans="2:42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6">SUM($D$79+$E$79)</f>
        <v>90555187.681800008</v>
      </c>
      <c r="J79">
        <v>49327371</v>
      </c>
      <c r="K79">
        <v>41227816.6818</v>
      </c>
      <c r="L79">
        <f t="shared" ref="L79" si="127">SUM($D$79+$E$79)</f>
        <v>90555187.681800008</v>
      </c>
      <c r="M79">
        <v>49327371</v>
      </c>
      <c r="N79">
        <v>41227816.6818</v>
      </c>
      <c r="O79">
        <f t="shared" ref="O79" si="128">SUM($D$79+$E$79)</f>
        <v>90555187.681800008</v>
      </c>
      <c r="P79">
        <v>49327371</v>
      </c>
      <c r="Q79">
        <v>41227816.6818</v>
      </c>
      <c r="R79">
        <f t="shared" ref="R79" si="129">SUM($D$79+$E$79)</f>
        <v>90555187.681800008</v>
      </c>
      <c r="S79">
        <v>49327371</v>
      </c>
      <c r="T79">
        <v>41227816.6818</v>
      </c>
      <c r="U79">
        <f t="shared" ref="U79" si="130">SUM($D$79+$E$79)</f>
        <v>90555187.681800008</v>
      </c>
      <c r="V79">
        <v>49327371</v>
      </c>
      <c r="W79">
        <v>41227816.6818</v>
      </c>
      <c r="X79">
        <f t="shared" ref="X79" si="131">SUM($D$79+$E$79)</f>
        <v>90555187.681800008</v>
      </c>
      <c r="Y79">
        <v>49327371</v>
      </c>
      <c r="Z79">
        <v>41227816.6818</v>
      </c>
      <c r="AA79">
        <f t="shared" ref="AA79" si="132">SUM($D$79+$E$79)</f>
        <v>90555187.681800008</v>
      </c>
      <c r="AB79">
        <v>49327371</v>
      </c>
      <c r="AC79">
        <v>41227816.6818</v>
      </c>
      <c r="AD79">
        <f t="shared" ref="AD79" si="133">SUM($D$79+$E$79)</f>
        <v>90555187.681800008</v>
      </c>
      <c r="AE79">
        <v>49327371</v>
      </c>
      <c r="AF79">
        <v>41227816.6818</v>
      </c>
      <c r="AG79">
        <f t="shared" ref="AG79" si="134">SUM($D$79+$E$79)</f>
        <v>90555187.681800008</v>
      </c>
      <c r="AH79">
        <v>49327371</v>
      </c>
      <c r="AI79">
        <v>41227816.6818</v>
      </c>
      <c r="AJ79">
        <f t="shared" ref="AJ79" si="135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O79" s="15">
        <f t="shared" si="30"/>
        <v>0.43447124427645978</v>
      </c>
      <c r="AP79" s="16"/>
    </row>
    <row r="80" spans="2:42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6">SUM($D$80+$E$80)</f>
        <v>4351176645.0444002</v>
      </c>
      <c r="J80">
        <v>721516374</v>
      </c>
      <c r="K80">
        <v>3629660271.0444002</v>
      </c>
      <c r="L80">
        <f t="shared" ref="L80" si="137">SUM($D$80+$E$80)</f>
        <v>4351176645.0444002</v>
      </c>
      <c r="M80">
        <v>721516374</v>
      </c>
      <c r="N80">
        <v>3629660271.0444002</v>
      </c>
      <c r="O80">
        <f t="shared" ref="O80" si="138">SUM($D$80+$E$80)</f>
        <v>4351176645.0444002</v>
      </c>
      <c r="P80">
        <v>721516374</v>
      </c>
      <c r="Q80">
        <v>3629660271.0444002</v>
      </c>
      <c r="R80">
        <f t="shared" ref="R80" si="139">SUM($D$80+$E$80)</f>
        <v>4351176645.0444002</v>
      </c>
      <c r="S80">
        <v>721516374</v>
      </c>
      <c r="T80">
        <v>3629660271.0444002</v>
      </c>
      <c r="U80">
        <f t="shared" ref="U80" si="140">SUM($D$80+$E$80)</f>
        <v>4351176645.0444002</v>
      </c>
      <c r="V80">
        <v>721516374</v>
      </c>
      <c r="W80">
        <v>3629660271.0444002</v>
      </c>
      <c r="X80">
        <f t="shared" ref="X80" si="141">SUM($D$80+$E$80)</f>
        <v>4351176645.0444002</v>
      </c>
      <c r="Y80">
        <v>721516374</v>
      </c>
      <c r="Z80">
        <v>3629660271.0444002</v>
      </c>
      <c r="AA80">
        <f t="shared" ref="AA80" si="142">SUM($D$80+$E$80)</f>
        <v>4351176645.0444002</v>
      </c>
      <c r="AB80">
        <v>721516374</v>
      </c>
      <c r="AC80">
        <v>3629660271.0444002</v>
      </c>
      <c r="AD80">
        <f t="shared" ref="AD80" si="143">SUM($D$80+$E$80)</f>
        <v>4351176645.0444002</v>
      </c>
      <c r="AE80">
        <v>721516374</v>
      </c>
      <c r="AF80">
        <v>3629660271.0444002</v>
      </c>
      <c r="AG80">
        <f t="shared" ref="AG80" si="144">SUM($D$80+$E$80)</f>
        <v>4351176645.0444002</v>
      </c>
      <c r="AH80">
        <v>721516374</v>
      </c>
      <c r="AI80">
        <v>3629660271.0444002</v>
      </c>
      <c r="AJ80">
        <f t="shared" ref="AJ80" si="145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O80" s="15">
        <f t="shared" si="30"/>
        <v>0.68445102774050004</v>
      </c>
      <c r="AP80" s="16"/>
    </row>
    <row r="81" spans="2:42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6">SUM($D$81+$E$81)</f>
        <v>7931431421.2180996</v>
      </c>
      <c r="J81">
        <v>813638701</v>
      </c>
      <c r="K81">
        <v>7117792720.2180996</v>
      </c>
      <c r="L81">
        <f t="shared" ref="L81" si="147">SUM($D$81+$E$81)</f>
        <v>7931431421.2180996</v>
      </c>
      <c r="M81">
        <v>813638701</v>
      </c>
      <c r="N81">
        <v>7117792720.2180996</v>
      </c>
      <c r="O81">
        <f t="shared" ref="O81" si="148">SUM($D$81+$E$81)</f>
        <v>7931431421.2180996</v>
      </c>
      <c r="P81">
        <v>813638701</v>
      </c>
      <c r="Q81">
        <v>7117792720.2180996</v>
      </c>
      <c r="R81">
        <f t="shared" ref="R81" si="149">SUM($D$81+$E$81)</f>
        <v>7931431421.2180996</v>
      </c>
      <c r="S81">
        <v>813638701</v>
      </c>
      <c r="T81">
        <v>7117792720.2180996</v>
      </c>
      <c r="U81">
        <f t="shared" ref="U81" si="150">SUM($D$81+$E$81)</f>
        <v>7931431421.2180996</v>
      </c>
      <c r="V81">
        <v>813638701</v>
      </c>
      <c r="W81">
        <v>7117792720.2180996</v>
      </c>
      <c r="X81">
        <f t="shared" ref="X81" si="151">SUM($D$81+$E$81)</f>
        <v>7931431421.2180996</v>
      </c>
      <c r="Y81">
        <v>813638701</v>
      </c>
      <c r="Z81">
        <v>7117792720.2180996</v>
      </c>
      <c r="AA81">
        <f t="shared" ref="AA81" si="152">SUM($D$81+$E$81)</f>
        <v>7931431421.2180996</v>
      </c>
      <c r="AB81">
        <v>813638701</v>
      </c>
      <c r="AC81">
        <v>7117792720.2180996</v>
      </c>
      <c r="AD81">
        <f t="shared" ref="AD81" si="153">SUM($D$81+$E$81)</f>
        <v>7931431421.2180996</v>
      </c>
      <c r="AE81">
        <v>813638701</v>
      </c>
      <c r="AF81">
        <v>7117792720.2180996</v>
      </c>
      <c r="AG81">
        <f t="shared" ref="AG81" si="154">SUM($D$81+$E$81)</f>
        <v>7931431421.2180996</v>
      </c>
      <c r="AH81">
        <v>813638701</v>
      </c>
      <c r="AI81">
        <v>7117792720.2180996</v>
      </c>
      <c r="AJ81">
        <f t="shared" ref="AJ81" si="155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O81" s="15">
        <f t="shared" si="30"/>
        <v>0.46861191077933873</v>
      </c>
      <c r="AP81" s="16"/>
    </row>
    <row r="82" spans="2:42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6">SUM($D$82+$E$82)</f>
        <v>53058713.997500002</v>
      </c>
      <c r="J82">
        <v>25813045</v>
      </c>
      <c r="K82">
        <v>27245668.997499999</v>
      </c>
      <c r="L82">
        <f t="shared" ref="L82" si="157">SUM($D$82+$E$82)</f>
        <v>53058713.997500002</v>
      </c>
      <c r="M82">
        <v>25813045</v>
      </c>
      <c r="N82">
        <v>27245668.997499999</v>
      </c>
      <c r="O82">
        <f t="shared" ref="O82" si="158">SUM($D$82+$E$82)</f>
        <v>53058713.997500002</v>
      </c>
      <c r="P82">
        <v>25813045</v>
      </c>
      <c r="Q82">
        <v>27245668.997499999</v>
      </c>
      <c r="R82">
        <f t="shared" ref="R82" si="159">SUM($D$82+$E$82)</f>
        <v>53058713.997500002</v>
      </c>
      <c r="S82">
        <v>25813045</v>
      </c>
      <c r="T82">
        <v>27245668.997499999</v>
      </c>
      <c r="U82">
        <f t="shared" ref="U82" si="160">SUM($D$82+$E$82)</f>
        <v>53058713.997500002</v>
      </c>
      <c r="V82">
        <v>25813045</v>
      </c>
      <c r="W82">
        <v>27245668.997499999</v>
      </c>
      <c r="X82">
        <f t="shared" ref="X82" si="161">SUM($D$82+$E$82)</f>
        <v>53058713.997500002</v>
      </c>
      <c r="Y82">
        <v>25813045</v>
      </c>
      <c r="Z82">
        <v>27245668.997499999</v>
      </c>
      <c r="AA82">
        <f t="shared" ref="AA82" si="162">SUM($D$82+$E$82)</f>
        <v>53058713.997500002</v>
      </c>
      <c r="AB82">
        <v>25813045</v>
      </c>
      <c r="AC82">
        <v>27245668.997499999</v>
      </c>
      <c r="AD82">
        <f t="shared" ref="AD82" si="163">SUM($D$82+$E$82)</f>
        <v>53058713.997500002</v>
      </c>
      <c r="AE82">
        <v>25813045</v>
      </c>
      <c r="AF82">
        <v>27245668.997499999</v>
      </c>
      <c r="AG82">
        <f t="shared" ref="AG82" si="164">SUM($D$82+$E$82)</f>
        <v>53058713.997500002</v>
      </c>
      <c r="AH82">
        <v>25813045</v>
      </c>
      <c r="AI82">
        <v>27245668.997499999</v>
      </c>
      <c r="AJ82">
        <f t="shared" ref="AJ82" si="165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O82" s="15">
        <f t="shared" si="30"/>
        <v>4.263748512253037</v>
      </c>
      <c r="AP82" s="16"/>
    </row>
    <row r="83" spans="2:42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6">SUM($D$83+$E$83)</f>
        <v>731640332.96249998</v>
      </c>
      <c r="J83">
        <v>246967201</v>
      </c>
      <c r="K83">
        <v>484673131.96249998</v>
      </c>
      <c r="L83">
        <f t="shared" ref="L83" si="167">SUM($D$83+$E$83)</f>
        <v>731640332.96249998</v>
      </c>
      <c r="M83">
        <v>246967201</v>
      </c>
      <c r="N83">
        <v>484673131.96249998</v>
      </c>
      <c r="O83">
        <f t="shared" ref="O83" si="168">SUM($D$83+$E$83)</f>
        <v>731640332.96249998</v>
      </c>
      <c r="P83">
        <v>246967201</v>
      </c>
      <c r="Q83">
        <v>484673131.96249998</v>
      </c>
      <c r="R83">
        <f t="shared" ref="R83" si="169">SUM($D$83+$E$83)</f>
        <v>731640332.96249998</v>
      </c>
      <c r="S83">
        <v>246967201</v>
      </c>
      <c r="T83">
        <v>484673131.96249998</v>
      </c>
      <c r="U83">
        <f t="shared" ref="U83" si="170">SUM($D$83+$E$83)</f>
        <v>731640332.96249998</v>
      </c>
      <c r="V83">
        <v>246967201</v>
      </c>
      <c r="W83">
        <v>484673131.96249998</v>
      </c>
      <c r="X83">
        <f t="shared" ref="X83" si="171">SUM($D$83+$E$83)</f>
        <v>731640332.96249998</v>
      </c>
      <c r="Y83">
        <v>246967201</v>
      </c>
      <c r="Z83">
        <v>484673131.96249998</v>
      </c>
      <c r="AA83">
        <f t="shared" ref="AA83" si="172">SUM($D$83+$E$83)</f>
        <v>731640332.96249998</v>
      </c>
      <c r="AB83">
        <v>246967201</v>
      </c>
      <c r="AC83">
        <v>484673131.96249998</v>
      </c>
      <c r="AD83">
        <f t="shared" ref="AD83" si="173">SUM($D$83+$E$83)</f>
        <v>731640332.96249998</v>
      </c>
      <c r="AE83">
        <v>246967201</v>
      </c>
      <c r="AF83">
        <v>484673131.96249998</v>
      </c>
      <c r="AG83">
        <f t="shared" ref="AG83" si="174">SUM($D$83+$E$83)</f>
        <v>731640332.96249998</v>
      </c>
      <c r="AH83">
        <v>246967201</v>
      </c>
      <c r="AI83">
        <v>484673131.96249998</v>
      </c>
      <c r="AJ83">
        <f t="shared" ref="AJ83" si="175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O83" s="15">
        <f t="shared" si="30"/>
        <v>0.8570128622220694</v>
      </c>
      <c r="AP83" s="16"/>
    </row>
    <row r="84" spans="2:42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6">SUM($D$84+$E$84)</f>
        <v>3626601224.7228003</v>
      </c>
      <c r="J84">
        <v>547461087</v>
      </c>
      <c r="K84">
        <v>3079140137.7228003</v>
      </c>
      <c r="L84">
        <f t="shared" ref="L84" si="177">SUM($D$84+$E$84)</f>
        <v>3626601224.7228003</v>
      </c>
      <c r="M84">
        <v>547461087</v>
      </c>
      <c r="N84">
        <v>3079140137.7228003</v>
      </c>
      <c r="O84">
        <f t="shared" ref="O84" si="178">SUM($D$84+$E$84)</f>
        <v>3626601224.7228003</v>
      </c>
      <c r="P84">
        <v>547461087</v>
      </c>
      <c r="Q84">
        <v>3079140137.7228003</v>
      </c>
      <c r="R84">
        <f t="shared" ref="R84" si="179">SUM($D$84+$E$84)</f>
        <v>3626601224.7228003</v>
      </c>
      <c r="S84">
        <v>547461087</v>
      </c>
      <c r="T84">
        <v>3079140137.7228003</v>
      </c>
      <c r="U84">
        <f t="shared" ref="U84" si="180">SUM($D$84+$E$84)</f>
        <v>3626601224.7228003</v>
      </c>
      <c r="V84">
        <v>547461087</v>
      </c>
      <c r="W84">
        <v>3079140137.7228003</v>
      </c>
      <c r="X84">
        <f t="shared" ref="X84" si="181">SUM($D$84+$E$84)</f>
        <v>3626601224.7228003</v>
      </c>
      <c r="Y84">
        <v>547461087</v>
      </c>
      <c r="Z84">
        <v>3079140137.7228003</v>
      </c>
      <c r="AA84">
        <f t="shared" ref="AA84" si="182">SUM($D$84+$E$84)</f>
        <v>3626601224.7228003</v>
      </c>
      <c r="AB84">
        <v>547461087</v>
      </c>
      <c r="AC84">
        <v>3079140137.7228003</v>
      </c>
      <c r="AD84">
        <f t="shared" ref="AD84" si="183">SUM($D$84+$E$84)</f>
        <v>3626601224.7228003</v>
      </c>
      <c r="AE84">
        <v>547461087</v>
      </c>
      <c r="AF84">
        <v>3079140137.7228003</v>
      </c>
      <c r="AG84">
        <f t="shared" ref="AG84" si="184">SUM($D$84+$E$84)</f>
        <v>3626601224.7228003</v>
      </c>
      <c r="AH84">
        <v>547461087</v>
      </c>
      <c r="AI84">
        <v>3079140137.7228003</v>
      </c>
      <c r="AJ84">
        <f t="shared" ref="AJ84" si="185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O84" s="15"/>
      <c r="AP84" s="16"/>
    </row>
    <row r="85" spans="2:42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6">SUM($D$85+$E$85)</f>
        <v>1706395684.6807001</v>
      </c>
      <c r="J85">
        <v>339790853</v>
      </c>
      <c r="K85">
        <v>1366604831.6807001</v>
      </c>
      <c r="L85">
        <f t="shared" ref="L85" si="187">SUM($D$85+$E$85)</f>
        <v>1706395684.6807001</v>
      </c>
      <c r="M85">
        <v>339790853</v>
      </c>
      <c r="N85">
        <v>1366604831.6807001</v>
      </c>
      <c r="O85">
        <f t="shared" ref="O85" si="188">SUM($D$85+$E$85)</f>
        <v>1706395684.6807001</v>
      </c>
      <c r="P85">
        <v>339790853</v>
      </c>
      <c r="Q85">
        <v>1366604831.6807001</v>
      </c>
      <c r="R85">
        <f t="shared" ref="R85" si="189">SUM($D$85+$E$85)</f>
        <v>1706395684.6807001</v>
      </c>
      <c r="S85">
        <v>339790853</v>
      </c>
      <c r="T85">
        <v>1366604831.6807001</v>
      </c>
      <c r="U85">
        <f t="shared" ref="U85" si="190">SUM($D$85+$E$85)</f>
        <v>1706395684.6807001</v>
      </c>
      <c r="V85">
        <v>339790853</v>
      </c>
      <c r="W85">
        <v>1366604831.6807001</v>
      </c>
      <c r="X85">
        <f t="shared" ref="X85" si="191">SUM($D$85+$E$85)</f>
        <v>1706395684.6807001</v>
      </c>
      <c r="Y85">
        <v>339790853</v>
      </c>
      <c r="Z85">
        <v>1366604831.6807001</v>
      </c>
      <c r="AA85">
        <f t="shared" ref="AA85" si="192">SUM($D$85+$E$85)</f>
        <v>1706395684.6807001</v>
      </c>
      <c r="AB85">
        <v>339790853</v>
      </c>
      <c r="AC85">
        <v>1366604831.6807001</v>
      </c>
      <c r="AD85">
        <f t="shared" ref="AD85" si="193">SUM($D$85+$E$85)</f>
        <v>1706395684.6807001</v>
      </c>
      <c r="AE85">
        <v>339790853</v>
      </c>
      <c r="AF85">
        <v>1366604831.6807001</v>
      </c>
      <c r="AG85">
        <f t="shared" ref="AG85" si="194">SUM($D$85+$E$85)</f>
        <v>1706395684.6807001</v>
      </c>
      <c r="AH85">
        <v>339790853</v>
      </c>
      <c r="AI85">
        <v>1366604831.6807001</v>
      </c>
      <c r="AJ85">
        <f t="shared" ref="AJ85" si="195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O85" s="15">
        <f t="shared" si="30"/>
        <v>0.22087539456654537</v>
      </c>
      <c r="AP85" s="16"/>
    </row>
    <row r="86" spans="2:42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6">SUM($D$86+$E$86)</f>
        <v>855415896.19199991</v>
      </c>
      <c r="J86">
        <v>233669115</v>
      </c>
      <c r="K86">
        <v>621746781.19199991</v>
      </c>
      <c r="L86">
        <f t="shared" ref="L86" si="197">SUM($D$86+$E$86)</f>
        <v>855415896.19199991</v>
      </c>
      <c r="M86">
        <v>233669115</v>
      </c>
      <c r="N86">
        <v>621746781.19199991</v>
      </c>
      <c r="O86">
        <f t="shared" ref="O86" si="198">SUM($D$86+$E$86)</f>
        <v>855415896.19199991</v>
      </c>
      <c r="P86">
        <v>233669115</v>
      </c>
      <c r="Q86">
        <v>621746781.19199991</v>
      </c>
      <c r="R86">
        <f t="shared" ref="R86" si="199">SUM($D$86+$E$86)</f>
        <v>855415896.19199991</v>
      </c>
      <c r="S86">
        <v>233669115</v>
      </c>
      <c r="T86">
        <v>621746781.19199991</v>
      </c>
      <c r="U86">
        <f t="shared" ref="U86" si="200">SUM($D$86+$E$86)</f>
        <v>855415896.19199991</v>
      </c>
      <c r="V86">
        <v>233669115</v>
      </c>
      <c r="W86">
        <v>621746781.19199991</v>
      </c>
      <c r="X86">
        <f t="shared" ref="X86" si="201">SUM($D$86+$E$86)</f>
        <v>855415896.19199991</v>
      </c>
      <c r="Y86">
        <v>233669115</v>
      </c>
      <c r="Z86">
        <v>621746781.19199991</v>
      </c>
      <c r="AA86">
        <f t="shared" ref="AA86" si="202">SUM($D$86+$E$86)</f>
        <v>855415896.19199991</v>
      </c>
      <c r="AB86">
        <v>233669115</v>
      </c>
      <c r="AC86">
        <v>621746781.19199991</v>
      </c>
      <c r="AD86">
        <f t="shared" ref="AD86" si="203">SUM($D$86+$E$86)</f>
        <v>855415896.19199991</v>
      </c>
      <c r="AE86">
        <v>233669115</v>
      </c>
      <c r="AF86">
        <v>621746781.19199991</v>
      </c>
      <c r="AG86">
        <f t="shared" ref="AG86" si="204">SUM($D$86+$E$86)</f>
        <v>855415896.19199991</v>
      </c>
      <c r="AH86">
        <v>233669115</v>
      </c>
      <c r="AI86">
        <v>621746781.19199991</v>
      </c>
      <c r="AJ86">
        <f t="shared" ref="AJ86" si="205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O86" s="15"/>
      <c r="AP86" s="16"/>
    </row>
    <row r="87" spans="2:42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6">SUM($D$87+$E$87)</f>
        <v>125714499.46000001</v>
      </c>
      <c r="J87">
        <v>78817868</v>
      </c>
      <c r="K87">
        <v>46896631.460000001</v>
      </c>
      <c r="L87">
        <f t="shared" ref="L87" si="207">SUM($D$87+$E$87)</f>
        <v>125714499.46000001</v>
      </c>
      <c r="M87">
        <v>78817868</v>
      </c>
      <c r="N87">
        <v>46896631.460000001</v>
      </c>
      <c r="O87">
        <f t="shared" ref="O87" si="208">SUM($D$87+$E$87)</f>
        <v>125714499.46000001</v>
      </c>
      <c r="P87">
        <v>78817868</v>
      </c>
      <c r="Q87">
        <v>46896631.460000001</v>
      </c>
      <c r="R87">
        <f t="shared" ref="R87" si="209">SUM($D$87+$E$87)</f>
        <v>125714499.46000001</v>
      </c>
      <c r="S87">
        <v>78817868</v>
      </c>
      <c r="T87">
        <v>46896631.460000001</v>
      </c>
      <c r="U87">
        <f t="shared" ref="U87" si="210">SUM($D$87+$E$87)</f>
        <v>125714499.46000001</v>
      </c>
      <c r="V87">
        <v>78817868</v>
      </c>
      <c r="W87">
        <v>46896631.460000001</v>
      </c>
      <c r="X87">
        <f t="shared" ref="X87" si="211">SUM($D$87+$E$87)</f>
        <v>125714499.46000001</v>
      </c>
      <c r="Y87">
        <v>78817868</v>
      </c>
      <c r="Z87">
        <v>46896631.460000001</v>
      </c>
      <c r="AA87">
        <f t="shared" ref="AA87" si="212">SUM($D$87+$E$87)</f>
        <v>125714499.46000001</v>
      </c>
      <c r="AB87">
        <v>78817868</v>
      </c>
      <c r="AC87">
        <v>46896631.460000001</v>
      </c>
      <c r="AD87">
        <f t="shared" ref="AD87" si="213">SUM($D$87+$E$87)</f>
        <v>125714499.46000001</v>
      </c>
      <c r="AE87">
        <v>78817868</v>
      </c>
      <c r="AF87">
        <v>46896631.460000001</v>
      </c>
      <c r="AG87">
        <f t="shared" ref="AG87" si="214">SUM($D$87+$E$87)</f>
        <v>125714499.46000001</v>
      </c>
      <c r="AH87">
        <v>78817868</v>
      </c>
      <c r="AI87">
        <v>46896631.460000001</v>
      </c>
      <c r="AJ87">
        <f t="shared" ref="AJ87" si="215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O87" s="15">
        <f t="shared" si="30"/>
        <v>0.9059926940045584</v>
      </c>
      <c r="AP87" s="16"/>
    </row>
    <row r="88" spans="2:42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6">SUM($D$88+$E$88)</f>
        <v>267653972.29999998</v>
      </c>
      <c r="J88">
        <v>85077550</v>
      </c>
      <c r="K88">
        <v>182576422.29999998</v>
      </c>
      <c r="L88">
        <f t="shared" ref="L88" si="217">SUM($D$88+$E$88)</f>
        <v>267653972.29999998</v>
      </c>
      <c r="M88">
        <v>85077550</v>
      </c>
      <c r="N88">
        <v>182576422.29999998</v>
      </c>
      <c r="O88">
        <f t="shared" ref="O88" si="218">SUM($D$88+$E$88)</f>
        <v>267653972.29999998</v>
      </c>
      <c r="P88">
        <v>85077550</v>
      </c>
      <c r="Q88">
        <v>182576422.29999998</v>
      </c>
      <c r="R88">
        <f t="shared" ref="R88" si="219">SUM($D$88+$E$88)</f>
        <v>267653972.29999998</v>
      </c>
      <c r="S88">
        <v>85077550</v>
      </c>
      <c r="T88">
        <v>182576422.29999998</v>
      </c>
      <c r="U88">
        <f t="shared" ref="U88" si="220">SUM($D$88+$E$88)</f>
        <v>267653972.29999998</v>
      </c>
      <c r="V88">
        <v>85077550</v>
      </c>
      <c r="W88">
        <v>182576422.29999998</v>
      </c>
      <c r="X88">
        <f t="shared" ref="X88" si="221">SUM($D$88+$E$88)</f>
        <v>267653972.29999998</v>
      </c>
      <c r="Y88">
        <v>85077550</v>
      </c>
      <c r="Z88">
        <v>182576422.29999998</v>
      </c>
      <c r="AA88">
        <f t="shared" ref="AA88" si="222">SUM($D$88+$E$88)</f>
        <v>267653972.29999998</v>
      </c>
      <c r="AB88">
        <v>85077550</v>
      </c>
      <c r="AC88">
        <v>182576422.29999998</v>
      </c>
      <c r="AD88">
        <f t="shared" ref="AD88" si="223">SUM($D$88+$E$88)</f>
        <v>267653972.29999998</v>
      </c>
      <c r="AE88">
        <v>85077550</v>
      </c>
      <c r="AF88">
        <v>182576422.29999998</v>
      </c>
      <c r="AG88">
        <f t="shared" ref="AG88" si="224">SUM($D$88+$E$88)</f>
        <v>267653972.29999998</v>
      </c>
      <c r="AH88">
        <v>85077550</v>
      </c>
      <c r="AI88">
        <v>182576422.29999998</v>
      </c>
      <c r="AJ88">
        <f t="shared" ref="AJ88" si="225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O88" s="15"/>
      <c r="AP88" s="16"/>
    </row>
    <row r="89" spans="2:42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6">SUM($D$89+$E$89)</f>
        <v>6357757199.0967999</v>
      </c>
      <c r="J89">
        <v>712816979</v>
      </c>
      <c r="K89">
        <v>5644940220.0967999</v>
      </c>
      <c r="L89">
        <f t="shared" ref="L89" si="227">SUM($D$89+$E$89)</f>
        <v>6357757199.0967999</v>
      </c>
      <c r="M89">
        <v>712816979</v>
      </c>
      <c r="N89">
        <v>5644940220.0967999</v>
      </c>
      <c r="O89">
        <f t="shared" ref="O89" si="228">SUM($D$89+$E$89)</f>
        <v>6357757199.0967999</v>
      </c>
      <c r="P89">
        <v>712816979</v>
      </c>
      <c r="Q89">
        <v>5644940220.0967999</v>
      </c>
      <c r="R89">
        <f t="shared" ref="R89" si="229">SUM($D$89+$E$89)</f>
        <v>6357757199.0967999</v>
      </c>
      <c r="S89">
        <v>712816979</v>
      </c>
      <c r="T89">
        <v>5644940220.0967999</v>
      </c>
      <c r="U89">
        <f t="shared" ref="U89" si="230">SUM($D$89+$E$89)</f>
        <v>6357757199.0967999</v>
      </c>
      <c r="V89">
        <v>712816979</v>
      </c>
      <c r="W89">
        <v>5644940220.0967999</v>
      </c>
      <c r="X89">
        <f t="shared" ref="X89" si="231">SUM($D$89+$E$89)</f>
        <v>6357757199.0967999</v>
      </c>
      <c r="Y89">
        <v>712816979</v>
      </c>
      <c r="Z89">
        <v>5644940220.0967999</v>
      </c>
      <c r="AA89">
        <f t="shared" ref="AA89" si="232">SUM($D$89+$E$89)</f>
        <v>6357757199.0967999</v>
      </c>
      <c r="AB89">
        <v>712816979</v>
      </c>
      <c r="AC89">
        <v>5644940220.0967999</v>
      </c>
      <c r="AD89">
        <f t="shared" ref="AD89" si="233">SUM($D$89+$E$89)</f>
        <v>6357757199.0967999</v>
      </c>
      <c r="AE89">
        <v>712816979</v>
      </c>
      <c r="AF89">
        <v>5644940220.0967999</v>
      </c>
      <c r="AG89">
        <f t="shared" ref="AG89" si="234">SUM($D$89+$E$89)</f>
        <v>6357757199.0967999</v>
      </c>
      <c r="AH89">
        <v>712816979</v>
      </c>
      <c r="AI89">
        <v>5644940220.0967999</v>
      </c>
      <c r="AJ89">
        <f t="shared" ref="AJ89" si="235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O89" s="15">
        <f t="shared" si="30"/>
        <v>0.4906918077818847</v>
      </c>
      <c r="AP89" s="16"/>
    </row>
    <row r="90" spans="2:42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6">SUM($D$90+$E$90)</f>
        <v>38609636.326499999</v>
      </c>
      <c r="J90">
        <v>29066955</v>
      </c>
      <c r="K90">
        <v>9542681.3265000004</v>
      </c>
      <c r="L90">
        <f t="shared" ref="L90" si="237">SUM($D$90+$E$90)</f>
        <v>38609636.326499999</v>
      </c>
      <c r="M90">
        <v>29066955</v>
      </c>
      <c r="N90">
        <v>9542681.3265000004</v>
      </c>
      <c r="O90">
        <f t="shared" ref="O90" si="238">SUM($D$90+$E$90)</f>
        <v>38609636.326499999</v>
      </c>
      <c r="P90">
        <v>29066955</v>
      </c>
      <c r="Q90">
        <v>9542681.3265000004</v>
      </c>
      <c r="R90">
        <f t="shared" ref="R90" si="239">SUM($D$90+$E$90)</f>
        <v>38609636.326499999</v>
      </c>
      <c r="S90">
        <v>29066955</v>
      </c>
      <c r="T90">
        <v>9542681.3265000004</v>
      </c>
      <c r="U90">
        <f t="shared" ref="U90" si="240">SUM($D$90+$E$90)</f>
        <v>38609636.326499999</v>
      </c>
      <c r="V90">
        <v>29066955</v>
      </c>
      <c r="W90">
        <v>9542681.3265000004</v>
      </c>
      <c r="X90">
        <f t="shared" ref="X90" si="241">SUM($D$90+$E$90)</f>
        <v>38609636.326499999</v>
      </c>
      <c r="Y90">
        <v>29066955</v>
      </c>
      <c r="Z90">
        <v>9542681.3265000004</v>
      </c>
      <c r="AA90">
        <f t="shared" ref="AA90" si="242">SUM($D$90+$E$90)</f>
        <v>38609636.326499999</v>
      </c>
      <c r="AB90">
        <v>29066955</v>
      </c>
      <c r="AC90">
        <v>9542681.3265000004</v>
      </c>
      <c r="AD90">
        <f t="shared" ref="AD90" si="243">SUM($D$90+$E$90)</f>
        <v>38609636.326499999</v>
      </c>
      <c r="AE90">
        <v>29066955</v>
      </c>
      <c r="AF90">
        <v>9542681.3265000004</v>
      </c>
      <c r="AG90">
        <f t="shared" ref="AG90" si="244">SUM($D$90+$E$90)</f>
        <v>38609636.326499999</v>
      </c>
      <c r="AH90">
        <v>29066955</v>
      </c>
      <c r="AI90">
        <v>9542681.3265000004</v>
      </c>
      <c r="AJ90">
        <f t="shared" ref="AJ90" si="245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O90" s="15">
        <f t="shared" si="30"/>
        <v>0.33603150004536997</v>
      </c>
      <c r="AP90" s="16"/>
    </row>
    <row r="91" spans="2:42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6">SUM($D$91+$E$91)</f>
        <v>8419755.8998000007</v>
      </c>
      <c r="J91">
        <v>6363658</v>
      </c>
      <c r="K91">
        <v>2056097.8998000002</v>
      </c>
      <c r="L91">
        <f t="shared" ref="L91" si="247">SUM($D$91+$E$91)</f>
        <v>8419755.8998000007</v>
      </c>
      <c r="M91">
        <v>6363658</v>
      </c>
      <c r="N91">
        <v>2056097.8998000002</v>
      </c>
      <c r="O91">
        <f t="shared" ref="O91" si="248">SUM($D$91+$E$91)</f>
        <v>8419755.8998000007</v>
      </c>
      <c r="P91">
        <v>6363658</v>
      </c>
      <c r="Q91">
        <v>2056097.8998000002</v>
      </c>
      <c r="R91">
        <f t="shared" ref="R91" si="249">SUM($D$91+$E$91)</f>
        <v>8419755.8998000007</v>
      </c>
      <c r="S91">
        <v>6363658</v>
      </c>
      <c r="T91">
        <v>2056097.8998000002</v>
      </c>
      <c r="U91">
        <f t="shared" ref="U91" si="250">SUM($D$91+$E$91)</f>
        <v>8419755.8998000007</v>
      </c>
      <c r="V91">
        <v>6363658</v>
      </c>
      <c r="W91">
        <v>2056097.8998000002</v>
      </c>
      <c r="X91">
        <f t="shared" ref="X91" si="251">SUM($D$91+$E$91)</f>
        <v>8419755.8998000007</v>
      </c>
      <c r="Y91">
        <v>6363658</v>
      </c>
      <c r="Z91">
        <v>2056097.8998000002</v>
      </c>
      <c r="AA91">
        <f t="shared" ref="AA91" si="252">SUM($D$91+$E$91)</f>
        <v>8419755.8998000007</v>
      </c>
      <c r="AB91">
        <v>6363658</v>
      </c>
      <c r="AC91">
        <v>2056097.8998000002</v>
      </c>
      <c r="AD91">
        <f t="shared" ref="AD91" si="253">SUM($D$91+$E$91)</f>
        <v>8419755.8998000007</v>
      </c>
      <c r="AE91">
        <v>6363658</v>
      </c>
      <c r="AF91">
        <v>2056097.8998000002</v>
      </c>
      <c r="AG91">
        <f t="shared" ref="AG91" si="254">SUM($D$91+$E$91)</f>
        <v>8419755.8998000007</v>
      </c>
      <c r="AH91">
        <v>6363658</v>
      </c>
      <c r="AI91">
        <v>2056097.8998000002</v>
      </c>
      <c r="AJ91">
        <f t="shared" ref="AJ91" si="255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O91" s="15">
        <f t="shared" si="30"/>
        <v>1.3858623132384595</v>
      </c>
      <c r="AP91" s="16"/>
    </row>
    <row r="92" spans="2:42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6">SUM($D$92+$E$92)</f>
        <v>1916473953.8357</v>
      </c>
      <c r="J92">
        <v>327764867</v>
      </c>
      <c r="K92">
        <v>1588709086.8357</v>
      </c>
      <c r="L92">
        <f t="shared" ref="L92" si="257">SUM($D$92+$E$92)</f>
        <v>1916473953.8357</v>
      </c>
      <c r="M92">
        <v>327764867</v>
      </c>
      <c r="N92">
        <v>1588709086.8357</v>
      </c>
      <c r="O92">
        <f t="shared" ref="O92" si="258">SUM($D$92+$E$92)</f>
        <v>1916473953.8357</v>
      </c>
      <c r="P92">
        <v>327764867</v>
      </c>
      <c r="Q92">
        <v>1588709086.8357</v>
      </c>
      <c r="R92">
        <f t="shared" ref="R92" si="259">SUM($D$92+$E$92)</f>
        <v>1916473953.8357</v>
      </c>
      <c r="S92">
        <v>327764867</v>
      </c>
      <c r="T92">
        <v>1588709086.8357</v>
      </c>
      <c r="U92">
        <f t="shared" ref="U92" si="260">SUM($D$92+$E$92)</f>
        <v>1916473953.8357</v>
      </c>
      <c r="V92">
        <v>327764867</v>
      </c>
      <c r="W92">
        <v>1588709086.8357</v>
      </c>
      <c r="X92">
        <f t="shared" ref="X92" si="261">SUM($D$92+$E$92)</f>
        <v>1916473953.8357</v>
      </c>
      <c r="Y92">
        <v>327764867</v>
      </c>
      <c r="Z92">
        <v>1588709086.8357</v>
      </c>
      <c r="AA92">
        <f t="shared" ref="AA92" si="262">SUM($D$92+$E$92)</f>
        <v>1916473953.8357</v>
      </c>
      <c r="AB92">
        <v>327764867</v>
      </c>
      <c r="AC92">
        <v>1588709086.8357</v>
      </c>
      <c r="AD92">
        <f t="shared" ref="AD92" si="263">SUM($D$92+$E$92)</f>
        <v>1916473953.8357</v>
      </c>
      <c r="AE92">
        <v>327764867</v>
      </c>
      <c r="AF92">
        <v>1588709086.8357</v>
      </c>
      <c r="AG92">
        <f t="shared" ref="AG92" si="264">SUM($D$92+$E$92)</f>
        <v>1916473953.8357</v>
      </c>
      <c r="AH92">
        <v>327764867</v>
      </c>
      <c r="AI92">
        <v>1588709086.8357</v>
      </c>
      <c r="AJ92">
        <f t="shared" ref="AJ92" si="265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O92" s="15">
        <f t="shared" si="30"/>
        <v>0.21302622519215331</v>
      </c>
      <c r="AP92" s="16"/>
    </row>
    <row r="93" spans="2:42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6">SUM($D$93+$E$93)</f>
        <v>2212481964.902</v>
      </c>
      <c r="J93">
        <v>382981126</v>
      </c>
      <c r="K93">
        <v>1829500838.902</v>
      </c>
      <c r="L93">
        <f t="shared" ref="L93" si="267">SUM($D$93+$E$93)</f>
        <v>2212481964.902</v>
      </c>
      <c r="M93">
        <v>382981126</v>
      </c>
      <c r="N93">
        <v>1829500838.902</v>
      </c>
      <c r="O93">
        <f t="shared" ref="O93" si="268">SUM($D$93+$E$93)</f>
        <v>2212481964.902</v>
      </c>
      <c r="P93">
        <v>382981126</v>
      </c>
      <c r="Q93">
        <v>1829500838.902</v>
      </c>
      <c r="R93">
        <f t="shared" ref="R93" si="269">SUM($D$93+$E$93)</f>
        <v>2212481964.902</v>
      </c>
      <c r="S93">
        <v>382981126</v>
      </c>
      <c r="T93">
        <v>1829500838.902</v>
      </c>
      <c r="U93">
        <f t="shared" ref="U93" si="270">SUM($D$93+$E$93)</f>
        <v>2212481964.902</v>
      </c>
      <c r="V93">
        <v>382981126</v>
      </c>
      <c r="W93">
        <v>1829500838.902</v>
      </c>
      <c r="X93">
        <f t="shared" ref="X93" si="271">SUM($D$93+$E$93)</f>
        <v>2212481964.902</v>
      </c>
      <c r="Y93">
        <v>382981126</v>
      </c>
      <c r="Z93">
        <v>1829500838.902</v>
      </c>
      <c r="AA93">
        <f t="shared" ref="AA93" si="272">SUM($D$93+$E$93)</f>
        <v>2212481964.902</v>
      </c>
      <c r="AB93">
        <v>382981126</v>
      </c>
      <c r="AC93">
        <v>1829500838.902</v>
      </c>
      <c r="AD93">
        <f t="shared" ref="AD93" si="273">SUM($D$93+$E$93)</f>
        <v>2212481964.902</v>
      </c>
      <c r="AE93">
        <v>382981126</v>
      </c>
      <c r="AF93">
        <v>1829500838.902</v>
      </c>
      <c r="AG93">
        <f t="shared" ref="AG93" si="274">SUM($D$93+$E$93)</f>
        <v>2212481964.902</v>
      </c>
      <c r="AH93">
        <v>382981126</v>
      </c>
      <c r="AI93">
        <v>1829500838.902</v>
      </c>
      <c r="AJ93">
        <f t="shared" ref="AJ93" si="275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O93" s="15">
        <f t="shared" si="30"/>
        <v>0.44870078851104789</v>
      </c>
      <c r="AP93" s="16"/>
    </row>
    <row r="94" spans="2:42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6">SUM($D$94+$E$94)</f>
        <v>851721169.89049995</v>
      </c>
      <c r="J94">
        <v>242331115</v>
      </c>
      <c r="K94">
        <v>609390054.89049995</v>
      </c>
      <c r="L94">
        <f t="shared" ref="L94" si="277">SUM($D$94+$E$94)</f>
        <v>851721169.89049995</v>
      </c>
      <c r="M94">
        <v>242331115</v>
      </c>
      <c r="N94">
        <v>609390054.89049995</v>
      </c>
      <c r="O94">
        <f t="shared" ref="O94" si="278">SUM($D$94+$E$94)</f>
        <v>851721169.89049995</v>
      </c>
      <c r="P94">
        <v>242331115</v>
      </c>
      <c r="Q94">
        <v>609390054.89049995</v>
      </c>
      <c r="R94">
        <f t="shared" ref="R94" si="279">SUM($D$94+$E$94)</f>
        <v>851721169.89049995</v>
      </c>
      <c r="S94">
        <v>242331115</v>
      </c>
      <c r="T94">
        <v>609390054.89049995</v>
      </c>
      <c r="U94">
        <f t="shared" ref="U94" si="280">SUM($D$94+$E$94)</f>
        <v>851721169.89049995</v>
      </c>
      <c r="V94">
        <v>242331115</v>
      </c>
      <c r="W94">
        <v>609390054.89049995</v>
      </c>
      <c r="X94">
        <f t="shared" ref="X94" si="281">SUM($D$94+$E$94)</f>
        <v>851721169.89049995</v>
      </c>
      <c r="Y94">
        <v>242331115</v>
      </c>
      <c r="Z94">
        <v>609390054.89049995</v>
      </c>
      <c r="AA94">
        <f t="shared" ref="AA94" si="282">SUM($D$94+$E$94)</f>
        <v>851721169.89049995</v>
      </c>
      <c r="AB94">
        <v>242331115</v>
      </c>
      <c r="AC94">
        <v>609390054.89049995</v>
      </c>
      <c r="AD94">
        <f t="shared" ref="AD94" si="283">SUM($D$94+$E$94)</f>
        <v>851721169.89049995</v>
      </c>
      <c r="AE94">
        <v>242331115</v>
      </c>
      <c r="AF94">
        <v>609390054.89049995</v>
      </c>
      <c r="AG94">
        <f t="shared" ref="AG94" si="284">SUM($D$94+$E$94)</f>
        <v>851721169.89049995</v>
      </c>
      <c r="AH94">
        <v>242331115</v>
      </c>
      <c r="AI94">
        <v>609390054.89049995</v>
      </c>
      <c r="AJ94">
        <f t="shared" ref="AJ94" si="285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O94" s="15"/>
      <c r="AP94" s="16"/>
    </row>
    <row r="95" spans="2:42">
      <c r="B95" s="2" t="s">
        <v>318</v>
      </c>
      <c r="C95" s="2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6">SUM($D$95+$E$95)</f>
        <v>4092925576.6728001</v>
      </c>
      <c r="J95">
        <v>595663869</v>
      </c>
      <c r="K95">
        <v>3497261707.6728001</v>
      </c>
      <c r="L95">
        <f t="shared" ref="L95" si="287">SUM($D$95+$E$95)</f>
        <v>4092925576.6728001</v>
      </c>
      <c r="M95">
        <v>595663869</v>
      </c>
      <c r="N95">
        <v>3497261707.6728001</v>
      </c>
      <c r="O95">
        <f t="shared" ref="O95" si="288">SUM($D$95+$E$95)</f>
        <v>4092925576.6728001</v>
      </c>
      <c r="P95">
        <v>595663869</v>
      </c>
      <c r="Q95">
        <v>3497261707.6728001</v>
      </c>
      <c r="R95">
        <f t="shared" ref="R95" si="289">SUM($D$95+$E$95)</f>
        <v>4092925576.6728001</v>
      </c>
      <c r="S95">
        <v>595663869</v>
      </c>
      <c r="T95">
        <v>3497261707.6728001</v>
      </c>
      <c r="U95">
        <f t="shared" ref="U95" si="290">SUM($D$95+$E$95)</f>
        <v>4092925576.6728001</v>
      </c>
      <c r="V95">
        <v>595663869</v>
      </c>
      <c r="W95">
        <v>3497261707.6728001</v>
      </c>
      <c r="X95">
        <f t="shared" ref="X95" si="291">SUM($D$95+$E$95)</f>
        <v>4092925576.6728001</v>
      </c>
      <c r="Y95">
        <v>595663869</v>
      </c>
      <c r="Z95">
        <v>3497261707.6728001</v>
      </c>
      <c r="AA95">
        <f t="shared" ref="AA95" si="292">SUM($D$95+$E$95)</f>
        <v>4092925576.6728001</v>
      </c>
      <c r="AB95">
        <v>595663869</v>
      </c>
      <c r="AC95">
        <v>3497261707.6728001</v>
      </c>
      <c r="AD95">
        <f t="shared" ref="AD95" si="293">SUM($D$95+$E$95)</f>
        <v>4092925576.6728001</v>
      </c>
      <c r="AE95">
        <v>595663869</v>
      </c>
      <c r="AF95">
        <v>3497261707.6728001</v>
      </c>
      <c r="AG95">
        <f t="shared" ref="AG95" si="294">SUM($D$95+$E$95)</f>
        <v>4092925576.6728001</v>
      </c>
      <c r="AH95">
        <v>595663869</v>
      </c>
      <c r="AI95">
        <v>3497261707.6728001</v>
      </c>
      <c r="AJ95">
        <f t="shared" ref="AJ95" si="295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O95" s="15">
        <f t="shared" si="30"/>
        <v>0.26019096748436521</v>
      </c>
      <c r="AP95" s="16"/>
    </row>
    <row r="96" spans="2:42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6">SUM($D$96+$E$96)</f>
        <v>5568389823.1664</v>
      </c>
      <c r="J96">
        <v>637378076</v>
      </c>
      <c r="K96">
        <v>4931011747.1664</v>
      </c>
      <c r="L96">
        <f t="shared" ref="L96" si="297">SUM($D$96+$E$96)</f>
        <v>5568389823.1664</v>
      </c>
      <c r="M96">
        <v>637378076</v>
      </c>
      <c r="N96">
        <v>4931011747.1664</v>
      </c>
      <c r="O96">
        <f t="shared" ref="O96" si="298">SUM($D$96+$E$96)</f>
        <v>5568389823.1664</v>
      </c>
      <c r="P96">
        <v>637378076</v>
      </c>
      <c r="Q96">
        <v>4931011747.1664</v>
      </c>
      <c r="R96">
        <f t="shared" ref="R96" si="299">SUM($D$96+$E$96)</f>
        <v>5568389823.1664</v>
      </c>
      <c r="S96">
        <v>637378076</v>
      </c>
      <c r="T96">
        <v>4931011747.1664</v>
      </c>
      <c r="U96">
        <f t="shared" ref="U96" si="300">SUM($D$96+$E$96)</f>
        <v>5568389823.1664</v>
      </c>
      <c r="V96">
        <v>637378076</v>
      </c>
      <c r="W96">
        <v>4931011747.1664</v>
      </c>
      <c r="X96">
        <f t="shared" ref="X96" si="301">SUM($D$96+$E$96)</f>
        <v>5568389823.1664</v>
      </c>
      <c r="Y96">
        <v>637378076</v>
      </c>
      <c r="Z96">
        <v>4931011747.1664</v>
      </c>
      <c r="AA96">
        <f t="shared" ref="AA96" si="302">SUM($D$96+$E$96)</f>
        <v>5568389823.1664</v>
      </c>
      <c r="AB96">
        <v>637378076</v>
      </c>
      <c r="AC96">
        <v>4931011747.1664</v>
      </c>
      <c r="AD96">
        <f t="shared" ref="AD96" si="303">SUM($D$96+$E$96)</f>
        <v>5568389823.1664</v>
      </c>
      <c r="AE96">
        <v>637378076</v>
      </c>
      <c r="AF96">
        <v>4931011747.1664</v>
      </c>
      <c r="AG96">
        <f t="shared" ref="AG96" si="304">SUM($D$96+$E$96)</f>
        <v>5568389823.1664</v>
      </c>
      <c r="AH96">
        <v>637378076</v>
      </c>
      <c r="AI96">
        <v>4931011747.1664</v>
      </c>
      <c r="AJ96">
        <f t="shared" ref="AJ96" si="305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O96" s="15"/>
      <c r="AP96" s="16"/>
    </row>
    <row r="97" spans="2:42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6">SUM($D$97+$E$97)</f>
        <v>1114514375.437</v>
      </c>
      <c r="J97">
        <v>299102135</v>
      </c>
      <c r="K97">
        <v>815412240.43700004</v>
      </c>
      <c r="L97">
        <f t="shared" ref="L97" si="307">SUM($D$97+$E$97)</f>
        <v>1114514375.437</v>
      </c>
      <c r="M97">
        <v>299102135</v>
      </c>
      <c r="N97">
        <v>815412240.43700004</v>
      </c>
      <c r="O97">
        <f t="shared" ref="O97" si="308">SUM($D$97+$E$97)</f>
        <v>1114514375.437</v>
      </c>
      <c r="P97">
        <v>299102135</v>
      </c>
      <c r="Q97">
        <v>815412240.43700004</v>
      </c>
      <c r="R97">
        <f t="shared" ref="R97" si="309">SUM($D$97+$E$97)</f>
        <v>1114514375.437</v>
      </c>
      <c r="S97">
        <v>299102135</v>
      </c>
      <c r="T97">
        <v>815412240.43700004</v>
      </c>
      <c r="U97">
        <f t="shared" ref="U97" si="310">SUM($D$97+$E$97)</f>
        <v>1114514375.437</v>
      </c>
      <c r="V97">
        <v>299102135</v>
      </c>
      <c r="W97">
        <v>815412240.43700004</v>
      </c>
      <c r="X97">
        <f t="shared" ref="X97" si="311">SUM($D$97+$E$97)</f>
        <v>1114514375.437</v>
      </c>
      <c r="Y97">
        <v>299102135</v>
      </c>
      <c r="Z97">
        <v>815412240.43700004</v>
      </c>
      <c r="AA97">
        <f t="shared" ref="AA97" si="312">SUM($D$97+$E$97)</f>
        <v>1114514375.437</v>
      </c>
      <c r="AB97">
        <v>299102135</v>
      </c>
      <c r="AC97">
        <v>815412240.43700004</v>
      </c>
      <c r="AD97">
        <f t="shared" ref="AD97" si="313">SUM($D$97+$E$97)</f>
        <v>1114514375.437</v>
      </c>
      <c r="AE97">
        <v>299102135</v>
      </c>
      <c r="AF97">
        <v>815412240.43700004</v>
      </c>
      <c r="AG97">
        <f t="shared" ref="AG97" si="314">SUM($D$97+$E$97)</f>
        <v>1114514375.437</v>
      </c>
      <c r="AH97">
        <v>299102135</v>
      </c>
      <c r="AI97">
        <v>815412240.43700004</v>
      </c>
      <c r="AJ97">
        <f t="shared" ref="AJ97" si="315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O97" s="15">
        <f t="shared" si="30"/>
        <v>0.53713660793067031</v>
      </c>
      <c r="AP97" s="16"/>
    </row>
    <row r="98" spans="2:42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6">SUM($D$98+$E$98)</f>
        <v>1187919011.2307999</v>
      </c>
      <c r="J98">
        <v>284177554</v>
      </c>
      <c r="K98">
        <v>903741457.23079991</v>
      </c>
      <c r="L98">
        <f t="shared" ref="L98" si="317">SUM($D$98+$E$98)</f>
        <v>1187919011.2307999</v>
      </c>
      <c r="M98">
        <v>284177554</v>
      </c>
      <c r="N98">
        <v>903741457.23079991</v>
      </c>
      <c r="O98">
        <f t="shared" ref="O98" si="318">SUM($D$98+$E$98)</f>
        <v>1187919011.2307999</v>
      </c>
      <c r="P98">
        <v>284177554</v>
      </c>
      <c r="Q98">
        <v>903741457.23079991</v>
      </c>
      <c r="R98">
        <f t="shared" ref="R98" si="319">SUM($D$98+$E$98)</f>
        <v>1187919011.2307999</v>
      </c>
      <c r="S98">
        <v>284177554</v>
      </c>
      <c r="T98">
        <v>903741457.23079991</v>
      </c>
      <c r="U98">
        <f t="shared" ref="U98" si="320">SUM($D$98+$E$98)</f>
        <v>1187919011.2307999</v>
      </c>
      <c r="V98">
        <v>284177554</v>
      </c>
      <c r="W98">
        <v>903741457.23079991</v>
      </c>
      <c r="X98">
        <f t="shared" ref="X98" si="321">SUM($D$98+$E$98)</f>
        <v>1187919011.2307999</v>
      </c>
      <c r="Y98">
        <v>284177554</v>
      </c>
      <c r="Z98">
        <v>903741457.23079991</v>
      </c>
      <c r="AA98">
        <f t="shared" ref="AA98" si="322">SUM($D$98+$E$98)</f>
        <v>1187919011.2307999</v>
      </c>
      <c r="AB98">
        <v>284177554</v>
      </c>
      <c r="AC98">
        <v>903741457.23079991</v>
      </c>
      <c r="AD98">
        <f t="shared" ref="AD98" si="323">SUM($D$98+$E$98)</f>
        <v>1187919011.2307999</v>
      </c>
      <c r="AE98">
        <v>284177554</v>
      </c>
      <c r="AF98">
        <v>903741457.23079991</v>
      </c>
      <c r="AG98">
        <f t="shared" ref="AG98" si="324">SUM($D$98+$E$98)</f>
        <v>1187919011.2307999</v>
      </c>
      <c r="AH98">
        <v>284177554</v>
      </c>
      <c r="AI98">
        <v>903741457.23079991</v>
      </c>
      <c r="AJ98">
        <f t="shared" ref="AJ98" si="325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O98" s="15">
        <f t="shared" si="30"/>
        <v>0.11327836577830097</v>
      </c>
      <c r="AP98" s="16"/>
    </row>
    <row r="99" spans="2:42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6">SUM($D$99+$E$99)</f>
        <v>41919730687.695099</v>
      </c>
      <c r="J99">
        <v>2891434669</v>
      </c>
      <c r="K99">
        <v>39028296018.695099</v>
      </c>
      <c r="L99">
        <f t="shared" ref="L99" si="327">SUM($D$99+$E$99)</f>
        <v>41919730687.695099</v>
      </c>
      <c r="M99">
        <v>2891434669</v>
      </c>
      <c r="N99">
        <v>39028296018.695099</v>
      </c>
      <c r="O99">
        <f t="shared" ref="O99" si="328">SUM($D$99+$E$99)</f>
        <v>41919730687.695099</v>
      </c>
      <c r="P99">
        <v>2891434669</v>
      </c>
      <c r="Q99">
        <v>39028296018.695099</v>
      </c>
      <c r="R99">
        <f t="shared" ref="R99" si="329">SUM($D$99+$E$99)</f>
        <v>41919730687.695099</v>
      </c>
      <c r="S99">
        <v>2891434669</v>
      </c>
      <c r="T99">
        <v>39028296018.695099</v>
      </c>
      <c r="U99">
        <f t="shared" ref="U99" si="330">SUM($D$99+$E$99)</f>
        <v>41919730687.695099</v>
      </c>
      <c r="V99">
        <v>2891434669</v>
      </c>
      <c r="W99">
        <v>39028296018.695099</v>
      </c>
      <c r="X99">
        <f t="shared" ref="X99" si="331">SUM($D$99+$E$99)</f>
        <v>41919730687.695099</v>
      </c>
      <c r="Y99">
        <v>2891434669</v>
      </c>
      <c r="Z99">
        <v>39028296018.695099</v>
      </c>
      <c r="AA99">
        <f t="shared" ref="AA99" si="332">SUM($D$99+$E$99)</f>
        <v>41919730687.695099</v>
      </c>
      <c r="AB99">
        <v>2891434669</v>
      </c>
      <c r="AC99">
        <v>39028296018.695099</v>
      </c>
      <c r="AD99">
        <f t="shared" ref="AD99" si="333">SUM($D$99+$E$99)</f>
        <v>41919730687.695099</v>
      </c>
      <c r="AE99">
        <v>2891434669</v>
      </c>
      <c r="AF99">
        <v>39028296018.695099</v>
      </c>
      <c r="AG99">
        <f t="shared" ref="AG99" si="334">SUM($D$99+$E$99)</f>
        <v>41919730687.695099</v>
      </c>
      <c r="AH99">
        <v>2891434669</v>
      </c>
      <c r="AI99">
        <v>39028296018.695099</v>
      </c>
      <c r="AJ99">
        <f t="shared" ref="AJ99" si="335">SUM($D$99+$E$99)</f>
        <v>41919730687.695099</v>
      </c>
      <c r="AK99">
        <v>2891434669</v>
      </c>
      <c r="AL99">
        <v>39028296018.695099</v>
      </c>
      <c r="AM99">
        <f t="shared" ref="AM99" si="336">SUM($D$99+$E$99)</f>
        <v>41919730687.695099</v>
      </c>
      <c r="AO99" s="15"/>
    </row>
    <row r="100" spans="2:42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7">SUM($D$100+$E$100)</f>
        <v>112516242.53040001</v>
      </c>
      <c r="J100">
        <v>63041373</v>
      </c>
      <c r="K100">
        <v>49474869.530400001</v>
      </c>
      <c r="L100">
        <f t="shared" ref="L100" si="338">SUM($D$100+$E$100)</f>
        <v>112516242.53040001</v>
      </c>
      <c r="M100">
        <v>63041373</v>
      </c>
      <c r="N100">
        <v>49474869.530400001</v>
      </c>
      <c r="O100">
        <f t="shared" ref="O100" si="339">SUM($D$100+$E$100)</f>
        <v>112516242.53040001</v>
      </c>
      <c r="P100">
        <v>63041373</v>
      </c>
      <c r="Q100">
        <v>49474869.530400001</v>
      </c>
      <c r="R100">
        <f t="shared" ref="R100" si="340">SUM($D$100+$E$100)</f>
        <v>112516242.53040001</v>
      </c>
      <c r="S100">
        <v>63041373</v>
      </c>
      <c r="T100">
        <v>49474869.530400001</v>
      </c>
      <c r="U100">
        <f t="shared" ref="U100" si="341">SUM($D$100+$E$100)</f>
        <v>112516242.53040001</v>
      </c>
      <c r="V100">
        <v>63041373</v>
      </c>
      <c r="W100">
        <v>49474869.530400001</v>
      </c>
      <c r="X100">
        <f t="shared" ref="X100" si="342">SUM($D$100+$E$100)</f>
        <v>112516242.53040001</v>
      </c>
      <c r="Y100">
        <v>63041373</v>
      </c>
      <c r="Z100">
        <v>49474869.530400001</v>
      </c>
      <c r="AA100">
        <f t="shared" ref="AA100" si="343">SUM($D$100+$E$100)</f>
        <v>112516242.53040001</v>
      </c>
      <c r="AB100">
        <v>63041373</v>
      </c>
      <c r="AC100">
        <v>49474869.530400001</v>
      </c>
      <c r="AD100">
        <f t="shared" ref="AD100" si="344">SUM($D$100+$E$100)</f>
        <v>112516242.53040001</v>
      </c>
      <c r="AE100">
        <v>63041373</v>
      </c>
      <c r="AF100">
        <v>49474869.530400001</v>
      </c>
      <c r="AG100">
        <f t="shared" ref="AG100" si="345">SUM($D$100+$E$100)</f>
        <v>112516242.53040001</v>
      </c>
      <c r="AH100">
        <v>63041373</v>
      </c>
      <c r="AI100">
        <v>49474869.530400001</v>
      </c>
      <c r="AJ100">
        <f t="shared" ref="AJ100" si="346">SUM($D$100+$E$100)</f>
        <v>112516242.53040001</v>
      </c>
      <c r="AK100">
        <v>63041373</v>
      </c>
      <c r="AL100">
        <v>49474869.530400001</v>
      </c>
      <c r="AM100">
        <f t="shared" ref="AM100" si="347">SUM($D$100+$E$100)</f>
        <v>112516242.53040001</v>
      </c>
      <c r="AO100" s="15"/>
    </row>
    <row r="101" spans="2:42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8">SUM($D$101+$E$101)</f>
        <v>1729745221.1354001</v>
      </c>
      <c r="J101">
        <v>381623179</v>
      </c>
      <c r="K101">
        <v>1348122042.1354001</v>
      </c>
      <c r="L101">
        <f t="shared" ref="L101" si="349">SUM($D$101+$E$101)</f>
        <v>1729745221.1354001</v>
      </c>
      <c r="M101">
        <v>381623179</v>
      </c>
      <c r="N101">
        <v>1348122042.1354001</v>
      </c>
      <c r="O101">
        <f t="shared" ref="O101" si="350">SUM($D$101+$E$101)</f>
        <v>1729745221.1354001</v>
      </c>
      <c r="P101">
        <v>381623179</v>
      </c>
      <c r="Q101">
        <v>1348122042.1354001</v>
      </c>
      <c r="R101">
        <f t="shared" ref="R101" si="351">SUM($D$101+$E$101)</f>
        <v>1729745221.1354001</v>
      </c>
      <c r="S101">
        <v>381623179</v>
      </c>
      <c r="T101">
        <v>1348122042.1354001</v>
      </c>
      <c r="U101">
        <f t="shared" ref="U101" si="352">SUM($D$101+$E$101)</f>
        <v>1729745221.1354001</v>
      </c>
      <c r="V101">
        <v>381623179</v>
      </c>
      <c r="W101">
        <v>1348122042.1354001</v>
      </c>
      <c r="X101">
        <f t="shared" ref="X101" si="353">SUM($D$101+$E$101)</f>
        <v>1729745221.1354001</v>
      </c>
      <c r="Y101">
        <v>381623179</v>
      </c>
      <c r="Z101">
        <v>1348122042.1354001</v>
      </c>
      <c r="AA101">
        <f t="shared" ref="AA101" si="354">SUM($D$101+$E$101)</f>
        <v>1729745221.1354001</v>
      </c>
      <c r="AB101">
        <v>381623179</v>
      </c>
      <c r="AC101">
        <v>1348122042.1354001</v>
      </c>
      <c r="AD101">
        <f t="shared" ref="AD101" si="355">SUM($D$101+$E$101)</f>
        <v>1729745221.1354001</v>
      </c>
      <c r="AE101">
        <v>381623179</v>
      </c>
      <c r="AF101">
        <v>1348122042.1354001</v>
      </c>
      <c r="AG101">
        <f t="shared" ref="AG101" si="356">SUM($D$101+$E$101)</f>
        <v>1729745221.1354001</v>
      </c>
      <c r="AH101">
        <v>381623179</v>
      </c>
      <c r="AI101">
        <v>1348122042.1354001</v>
      </c>
      <c r="AJ101">
        <f t="shared" ref="AJ101" si="357">SUM($D$101+$E$101)</f>
        <v>1729745221.1354001</v>
      </c>
      <c r="AK101">
        <v>381623179</v>
      </c>
      <c r="AL101">
        <v>1348122042.1354001</v>
      </c>
      <c r="AM101">
        <f t="shared" ref="AM101" si="358">SUM($D$101+$E$101)</f>
        <v>1729745221.1354001</v>
      </c>
      <c r="AO101" s="15"/>
    </row>
    <row r="102" spans="2:42">
      <c r="B102" s="2" t="s">
        <v>349</v>
      </c>
      <c r="C102" s="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9">SUM($D$102+$E$102)</f>
        <v>149976853.0086</v>
      </c>
      <c r="J102">
        <v>64152987</v>
      </c>
      <c r="K102">
        <v>85823866.008599997</v>
      </c>
      <c r="L102">
        <f t="shared" ref="L102" si="360">SUM($D$102+$E$102)</f>
        <v>149976853.0086</v>
      </c>
      <c r="M102">
        <v>64152987</v>
      </c>
      <c r="N102">
        <v>85823866.008599997</v>
      </c>
      <c r="O102">
        <f t="shared" ref="O102" si="361">SUM($D$102+$E$102)</f>
        <v>149976853.0086</v>
      </c>
      <c r="P102">
        <v>64152987</v>
      </c>
      <c r="Q102">
        <v>85823866.008599997</v>
      </c>
      <c r="R102">
        <f t="shared" ref="R102" si="362">SUM($D$102+$E$102)</f>
        <v>149976853.0086</v>
      </c>
      <c r="S102">
        <v>64152987</v>
      </c>
      <c r="T102">
        <v>85823866.008599997</v>
      </c>
      <c r="U102">
        <f t="shared" ref="U102" si="363">SUM($D$102+$E$102)</f>
        <v>149976853.0086</v>
      </c>
      <c r="V102">
        <v>64152987</v>
      </c>
      <c r="W102">
        <v>85823866.008599997</v>
      </c>
      <c r="X102">
        <f t="shared" ref="X102" si="364">SUM($D$102+$E$102)</f>
        <v>149976853.0086</v>
      </c>
      <c r="Y102">
        <v>64152987</v>
      </c>
      <c r="Z102">
        <v>85823866.008599997</v>
      </c>
      <c r="AA102">
        <f t="shared" ref="AA102" si="365">SUM($D$102+$E$102)</f>
        <v>149976853.0086</v>
      </c>
      <c r="AB102">
        <v>64152987</v>
      </c>
      <c r="AC102">
        <v>85823866.008599997</v>
      </c>
      <c r="AD102">
        <f t="shared" ref="AD102" si="366">SUM($D$102+$E$102)</f>
        <v>149976853.0086</v>
      </c>
      <c r="AE102">
        <v>64152987</v>
      </c>
      <c r="AF102">
        <v>85823866.008599997</v>
      </c>
      <c r="AG102">
        <f t="shared" ref="AG102" si="367">SUM($D$102+$E$102)</f>
        <v>149976853.0086</v>
      </c>
      <c r="AH102">
        <v>64152987</v>
      </c>
      <c r="AI102">
        <v>85823866.008599997</v>
      </c>
      <c r="AJ102">
        <f t="shared" ref="AJ102" si="368">SUM($D$102+$E$102)</f>
        <v>149976853.0086</v>
      </c>
      <c r="AK102">
        <v>64152987</v>
      </c>
      <c r="AL102">
        <v>85823866.008599997</v>
      </c>
      <c r="AM102">
        <f t="shared" ref="AM102" si="369">SUM($D$102+$E$102)</f>
        <v>149976853.0086</v>
      </c>
      <c r="AO102" s="15"/>
    </row>
    <row r="103" spans="2:42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70">SUM($D$103+$E$103)</f>
        <v>1374863052.1763999</v>
      </c>
      <c r="J103">
        <v>290521311</v>
      </c>
      <c r="K103">
        <v>1084341741.1763999</v>
      </c>
      <c r="L103">
        <f t="shared" ref="L103" si="371">SUM($D$103+$E$103)</f>
        <v>1374863052.1763999</v>
      </c>
      <c r="M103">
        <v>290521311</v>
      </c>
      <c r="N103">
        <v>1084341741.1763999</v>
      </c>
      <c r="O103">
        <f t="shared" ref="O103" si="372">SUM($D$103+$E$103)</f>
        <v>1374863052.1763999</v>
      </c>
      <c r="P103">
        <v>290521311</v>
      </c>
      <c r="Q103">
        <v>1084341741.1763999</v>
      </c>
      <c r="R103">
        <f t="shared" ref="R103" si="373">SUM($D$103+$E$103)</f>
        <v>1374863052.1763999</v>
      </c>
      <c r="S103">
        <v>290521311</v>
      </c>
      <c r="T103">
        <v>1084341741.1763999</v>
      </c>
      <c r="U103">
        <f t="shared" ref="U103" si="374">SUM($D$103+$E$103)</f>
        <v>1374863052.1763999</v>
      </c>
      <c r="V103">
        <v>290521311</v>
      </c>
      <c r="W103">
        <v>1084341741.1763999</v>
      </c>
      <c r="X103">
        <f t="shared" ref="X103" si="375">SUM($D$103+$E$103)</f>
        <v>1374863052.1763999</v>
      </c>
      <c r="Y103">
        <v>290521311</v>
      </c>
      <c r="Z103">
        <v>1084341741.1763999</v>
      </c>
      <c r="AA103">
        <f t="shared" ref="AA103" si="376">SUM($D$103+$E$103)</f>
        <v>1374863052.1763999</v>
      </c>
      <c r="AB103">
        <v>290521311</v>
      </c>
      <c r="AC103">
        <v>1084341741.1763999</v>
      </c>
      <c r="AD103">
        <f t="shared" ref="AD103" si="377">SUM($D$103+$E$103)</f>
        <v>1374863052.1763999</v>
      </c>
      <c r="AE103">
        <v>290521311</v>
      </c>
      <c r="AF103">
        <v>1084341741.1763999</v>
      </c>
      <c r="AG103">
        <f t="shared" ref="AG103" si="378">SUM($D$103+$E$103)</f>
        <v>1374863052.1763999</v>
      </c>
      <c r="AH103">
        <v>290521311</v>
      </c>
      <c r="AI103">
        <v>1084341741.1763999</v>
      </c>
      <c r="AJ103">
        <f t="shared" ref="AJ103" si="379">SUM($D$103+$E$103)</f>
        <v>1374863052.1763999</v>
      </c>
      <c r="AK103">
        <v>290521311</v>
      </c>
      <c r="AL103">
        <v>1084341741.1763999</v>
      </c>
      <c r="AM103">
        <f t="shared" ref="AM103" si="380">SUM($D$103+$E$103)</f>
        <v>1374863052.1763999</v>
      </c>
      <c r="AO103" s="15"/>
    </row>
    <row r="104" spans="2:42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81">SUM($D$104+$E$104)</f>
        <v>6828941088.5012999</v>
      </c>
      <c r="J104">
        <v>791110053</v>
      </c>
      <c r="K104">
        <v>6037831035.5012999</v>
      </c>
      <c r="L104">
        <f t="shared" ref="L104" si="382">SUM($D$104+$E$104)</f>
        <v>6828941088.5012999</v>
      </c>
      <c r="M104">
        <v>791110053</v>
      </c>
      <c r="N104">
        <v>6037831035.5012999</v>
      </c>
      <c r="O104">
        <f t="shared" ref="O104" si="383">SUM($D$104+$E$104)</f>
        <v>6828941088.5012999</v>
      </c>
      <c r="P104">
        <v>791110053</v>
      </c>
      <c r="Q104">
        <v>6037831035.5012999</v>
      </c>
      <c r="R104">
        <f t="shared" ref="R104" si="384">SUM($D$104+$E$104)</f>
        <v>6828941088.5012999</v>
      </c>
      <c r="S104">
        <v>791110053</v>
      </c>
      <c r="T104">
        <v>6037831035.5012999</v>
      </c>
      <c r="U104">
        <f t="shared" ref="U104" si="385">SUM($D$104+$E$104)</f>
        <v>6828941088.5012999</v>
      </c>
      <c r="V104">
        <v>791110053</v>
      </c>
      <c r="W104">
        <v>6037831035.5012999</v>
      </c>
      <c r="X104">
        <f t="shared" ref="X104" si="386">SUM($D$104+$E$104)</f>
        <v>6828941088.5012999</v>
      </c>
      <c r="Y104">
        <v>791110053</v>
      </c>
      <c r="Z104">
        <v>6037831035.5012999</v>
      </c>
      <c r="AA104">
        <f t="shared" ref="AA104" si="387">SUM($D$104+$E$104)</f>
        <v>6828941088.5012999</v>
      </c>
      <c r="AB104">
        <v>791110053</v>
      </c>
      <c r="AC104">
        <v>6037831035.5012999</v>
      </c>
      <c r="AD104">
        <f t="shared" ref="AD104" si="388">SUM($D$104+$E$104)</f>
        <v>6828941088.5012999</v>
      </c>
      <c r="AE104">
        <v>791110053</v>
      </c>
      <c r="AF104">
        <v>6037831035.5012999</v>
      </c>
      <c r="AG104">
        <f t="shared" ref="AG104" si="389">SUM($D$104+$E$104)</f>
        <v>6828941088.5012999</v>
      </c>
      <c r="AH104">
        <v>791110053</v>
      </c>
      <c r="AI104">
        <v>6037831035.5012999</v>
      </c>
      <c r="AJ104">
        <f t="shared" ref="AJ104" si="390">SUM($D$104+$E$104)</f>
        <v>6828941088.5012999</v>
      </c>
      <c r="AK104">
        <v>791110053</v>
      </c>
      <c r="AL104">
        <v>6037831035.5012999</v>
      </c>
      <c r="AM104">
        <f t="shared" ref="AM104" si="391">SUM($D$104+$E$104)</f>
        <v>6828941088.5012999</v>
      </c>
      <c r="AO104" s="15"/>
    </row>
    <row r="105" spans="2:42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2">SUM($D$105+$E$105)</f>
        <v>19462011297.799198</v>
      </c>
      <c r="J105">
        <v>1565326006</v>
      </c>
      <c r="K105">
        <v>17896685291.799198</v>
      </c>
      <c r="L105">
        <f t="shared" ref="L105" si="393">SUM($D$105+$E$105)</f>
        <v>19462011297.799198</v>
      </c>
      <c r="M105">
        <v>1565326006</v>
      </c>
      <c r="N105">
        <v>17896685291.799198</v>
      </c>
      <c r="O105">
        <f t="shared" ref="O105" si="394">SUM($D$105+$E$105)</f>
        <v>19462011297.799198</v>
      </c>
      <c r="P105">
        <v>1565326006</v>
      </c>
      <c r="Q105">
        <v>17896685291.799198</v>
      </c>
      <c r="R105">
        <f t="shared" ref="R105" si="395">SUM($D$105+$E$105)</f>
        <v>19462011297.799198</v>
      </c>
      <c r="S105">
        <v>1565326006</v>
      </c>
      <c r="T105">
        <v>17896685291.799198</v>
      </c>
      <c r="U105">
        <f t="shared" ref="U105" si="396">SUM($D$105+$E$105)</f>
        <v>19462011297.799198</v>
      </c>
      <c r="V105">
        <v>1565326006</v>
      </c>
      <c r="W105">
        <v>17896685291.799198</v>
      </c>
      <c r="X105">
        <f t="shared" ref="X105" si="397">SUM($D$105+$E$105)</f>
        <v>19462011297.799198</v>
      </c>
      <c r="Y105">
        <v>1565326006</v>
      </c>
      <c r="Z105">
        <v>17896685291.799198</v>
      </c>
      <c r="AA105">
        <f t="shared" ref="AA105" si="398">SUM($D$105+$E$105)</f>
        <v>19462011297.799198</v>
      </c>
      <c r="AB105">
        <v>1565326006</v>
      </c>
      <c r="AC105">
        <v>17896685291.799198</v>
      </c>
      <c r="AD105">
        <f t="shared" ref="AD105" si="399">SUM($D$105+$E$105)</f>
        <v>19462011297.799198</v>
      </c>
      <c r="AE105">
        <v>1565326006</v>
      </c>
      <c r="AF105">
        <v>17896685291.799198</v>
      </c>
      <c r="AG105">
        <f t="shared" ref="AG105" si="400">SUM($D$105+$E$105)</f>
        <v>19462011297.799198</v>
      </c>
      <c r="AH105">
        <v>1565326006</v>
      </c>
      <c r="AI105">
        <v>17896685291.799198</v>
      </c>
      <c r="AJ105">
        <f t="shared" ref="AJ105" si="401">SUM($D$105+$E$105)</f>
        <v>19462011297.799198</v>
      </c>
      <c r="AK105">
        <v>1565326006</v>
      </c>
      <c r="AL105">
        <v>17896685291.799198</v>
      </c>
      <c r="AM105">
        <f t="shared" ref="AM105" si="402">SUM($D$105+$E$105)</f>
        <v>19462011297.799198</v>
      </c>
      <c r="AO105" s="15"/>
    </row>
    <row r="106" spans="2:42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3">SUM($D$106+$E$106)</f>
        <v>6090599667.7950001</v>
      </c>
      <c r="J106">
        <v>718442898</v>
      </c>
      <c r="K106">
        <v>5372156769.7950001</v>
      </c>
      <c r="L106">
        <f t="shared" ref="L106" si="404">SUM($D$106+$E$106)</f>
        <v>6090599667.7950001</v>
      </c>
      <c r="M106">
        <v>718442898</v>
      </c>
      <c r="N106">
        <v>5372156769.7950001</v>
      </c>
      <c r="O106">
        <f t="shared" ref="O106" si="405">SUM($D$106+$E$106)</f>
        <v>6090599667.7950001</v>
      </c>
      <c r="P106">
        <v>718442898</v>
      </c>
      <c r="Q106">
        <v>5372156769.7950001</v>
      </c>
      <c r="R106">
        <f t="shared" ref="R106" si="406">SUM($D$106+$E$106)</f>
        <v>6090599667.7950001</v>
      </c>
      <c r="S106">
        <v>718442898</v>
      </c>
      <c r="T106">
        <v>5372156769.7950001</v>
      </c>
      <c r="U106">
        <f t="shared" ref="U106" si="407">SUM($D$106+$E$106)</f>
        <v>6090599667.7950001</v>
      </c>
      <c r="V106">
        <v>718442898</v>
      </c>
      <c r="W106">
        <v>5372156769.7950001</v>
      </c>
      <c r="X106">
        <f t="shared" ref="X106" si="408">SUM($D$106+$E$106)</f>
        <v>6090599667.7950001</v>
      </c>
      <c r="Y106">
        <v>718442898</v>
      </c>
      <c r="Z106">
        <v>5372156769.7950001</v>
      </c>
      <c r="AA106">
        <f t="shared" ref="AA106" si="409">SUM($D$106+$E$106)</f>
        <v>6090599667.7950001</v>
      </c>
      <c r="AB106">
        <v>718442898</v>
      </c>
      <c r="AC106">
        <v>5372156769.7950001</v>
      </c>
      <c r="AD106">
        <f t="shared" ref="AD106" si="410">SUM($D$106+$E$106)</f>
        <v>6090599667.7950001</v>
      </c>
      <c r="AE106">
        <v>718442898</v>
      </c>
      <c r="AF106">
        <v>5372156769.7950001</v>
      </c>
      <c r="AG106">
        <f t="shared" ref="AG106" si="411">SUM($D$106+$E$106)</f>
        <v>6090599667.7950001</v>
      </c>
      <c r="AH106">
        <v>718442898</v>
      </c>
      <c r="AI106">
        <v>5372156769.7950001</v>
      </c>
      <c r="AJ106">
        <f t="shared" ref="AJ106" si="412">SUM($D$106+$E$106)</f>
        <v>6090599667.7950001</v>
      </c>
      <c r="AK106">
        <v>718442898</v>
      </c>
      <c r="AL106">
        <v>5372156769.7950001</v>
      </c>
      <c r="AM106">
        <f t="shared" ref="AM106" si="413">SUM($D$106+$E$106)</f>
        <v>6090599667.7950001</v>
      </c>
      <c r="AO106" s="15"/>
    </row>
    <row r="107" spans="2:42">
      <c r="B107" t="s">
        <v>358</v>
      </c>
      <c r="C107" s="2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4">SUM($D$107+$E$107)</f>
        <v>1546164700.4895999</v>
      </c>
      <c r="J107">
        <v>313693664</v>
      </c>
      <c r="K107">
        <v>1232471036.4895999</v>
      </c>
      <c r="L107">
        <f t="shared" ref="L107" si="415">SUM($D$107+$E$107)</f>
        <v>1546164700.4895999</v>
      </c>
      <c r="M107">
        <v>313693664</v>
      </c>
      <c r="N107">
        <v>1232471036.4895999</v>
      </c>
      <c r="O107">
        <f t="shared" ref="O107" si="416">SUM($D$107+$E$107)</f>
        <v>1546164700.4895999</v>
      </c>
      <c r="P107">
        <v>313693664</v>
      </c>
      <c r="Q107">
        <v>1232471036.4895999</v>
      </c>
      <c r="R107">
        <f t="shared" ref="R107" si="417">SUM($D$107+$E$107)</f>
        <v>1546164700.4895999</v>
      </c>
      <c r="S107">
        <v>313693664</v>
      </c>
      <c r="T107">
        <v>1232471036.4895999</v>
      </c>
      <c r="U107">
        <f t="shared" ref="U107" si="418">SUM($D$107+$E$107)</f>
        <v>1546164700.4895999</v>
      </c>
      <c r="V107">
        <v>313693664</v>
      </c>
      <c r="W107">
        <v>1232471036.4895999</v>
      </c>
      <c r="X107">
        <f t="shared" ref="X107" si="419">SUM($D$107+$E$107)</f>
        <v>1546164700.4895999</v>
      </c>
      <c r="Y107">
        <v>313693664</v>
      </c>
      <c r="Z107">
        <v>1232471036.4895999</v>
      </c>
      <c r="AA107">
        <f t="shared" ref="AA107" si="420">SUM($D$107+$E$107)</f>
        <v>1546164700.4895999</v>
      </c>
      <c r="AB107">
        <v>313693664</v>
      </c>
      <c r="AC107">
        <v>1232471036.4895999</v>
      </c>
      <c r="AD107">
        <f t="shared" ref="AD107" si="421">SUM($D$107+$E$107)</f>
        <v>1546164700.4895999</v>
      </c>
      <c r="AE107">
        <v>313693664</v>
      </c>
      <c r="AF107">
        <v>1232471036.4895999</v>
      </c>
      <c r="AG107">
        <f t="shared" ref="AG107" si="422">SUM($D$107+$E$107)</f>
        <v>1546164700.4895999</v>
      </c>
      <c r="AH107">
        <v>313693664</v>
      </c>
      <c r="AI107">
        <v>1232471036.4895999</v>
      </c>
      <c r="AJ107">
        <f t="shared" ref="AJ107" si="423">SUM($D$107+$E$107)</f>
        <v>1546164700.4895999</v>
      </c>
      <c r="AK107">
        <v>313693664</v>
      </c>
      <c r="AL107">
        <v>1232471036.4895999</v>
      </c>
      <c r="AM107">
        <f t="shared" ref="AM107" si="424">SUM($D$107+$E$107)</f>
        <v>1546164700.4895999</v>
      </c>
      <c r="AO107" s="15"/>
    </row>
    <row r="108" spans="2:42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5">SUM($D$108+$E$108)</f>
        <v>566589395.04290009</v>
      </c>
      <c r="J108">
        <v>186925339</v>
      </c>
      <c r="K108">
        <v>379664056.04290003</v>
      </c>
      <c r="L108">
        <f t="shared" ref="L108" si="426">SUM($D$108+$E$108)</f>
        <v>566589395.04290009</v>
      </c>
      <c r="M108">
        <v>186925339</v>
      </c>
      <c r="N108">
        <v>379664056.04290003</v>
      </c>
      <c r="O108">
        <f t="shared" ref="O108" si="427">SUM($D$108+$E$108)</f>
        <v>566589395.04290009</v>
      </c>
      <c r="P108">
        <v>186925339</v>
      </c>
      <c r="Q108">
        <v>379664056.04290003</v>
      </c>
      <c r="R108">
        <f t="shared" ref="R108" si="428">SUM($D$108+$E$108)</f>
        <v>566589395.04290009</v>
      </c>
      <c r="S108">
        <v>186925339</v>
      </c>
      <c r="T108">
        <v>379664056.04290003</v>
      </c>
      <c r="U108">
        <f t="shared" ref="U108" si="429">SUM($D$108+$E$108)</f>
        <v>566589395.04290009</v>
      </c>
      <c r="V108">
        <v>186925339</v>
      </c>
      <c r="W108">
        <v>379664056.04290003</v>
      </c>
      <c r="X108">
        <f t="shared" ref="X108" si="430">SUM($D$108+$E$108)</f>
        <v>566589395.04290009</v>
      </c>
      <c r="Y108">
        <v>186925339</v>
      </c>
      <c r="Z108">
        <v>379664056.04290003</v>
      </c>
      <c r="AA108">
        <f t="shared" ref="AA108" si="431">SUM($D$108+$E$108)</f>
        <v>566589395.04290009</v>
      </c>
      <c r="AB108">
        <v>186925339</v>
      </c>
      <c r="AC108">
        <v>379664056.04290003</v>
      </c>
      <c r="AD108">
        <f t="shared" ref="AD108" si="432">SUM($D$108+$E$108)</f>
        <v>566589395.04290009</v>
      </c>
      <c r="AE108">
        <v>186925339</v>
      </c>
      <c r="AF108">
        <v>379664056.04290003</v>
      </c>
      <c r="AG108">
        <f t="shared" ref="AG108" si="433">SUM($D$108+$E$108)</f>
        <v>566589395.04290009</v>
      </c>
      <c r="AH108">
        <v>186925339</v>
      </c>
      <c r="AI108">
        <v>379664056.04290003</v>
      </c>
      <c r="AJ108">
        <f t="shared" ref="AJ108" si="434">SUM($D$108+$E$108)</f>
        <v>566589395.04290009</v>
      </c>
      <c r="AK108">
        <v>186925339</v>
      </c>
      <c r="AL108">
        <v>379664056.04290003</v>
      </c>
      <c r="AM108">
        <f t="shared" ref="AM108" si="435">SUM($D$108+$E$108)</f>
        <v>566589395.04290009</v>
      </c>
      <c r="AO108" s="15"/>
    </row>
    <row r="109" spans="2:42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6">SUM($D$109+$E$109)</f>
        <v>3727945880.3280001</v>
      </c>
      <c r="J109">
        <v>611238872</v>
      </c>
      <c r="K109">
        <v>3116707008.3280001</v>
      </c>
      <c r="L109">
        <f t="shared" ref="L109" si="437">SUM($D$109+$E$109)</f>
        <v>3727945880.3280001</v>
      </c>
      <c r="M109">
        <v>611238872</v>
      </c>
      <c r="N109">
        <v>3116707008.3280001</v>
      </c>
      <c r="O109">
        <f t="shared" ref="O109" si="438">SUM($D$109+$E$109)</f>
        <v>3727945880.3280001</v>
      </c>
      <c r="P109">
        <v>611238872</v>
      </c>
      <c r="Q109">
        <v>3116707008.3280001</v>
      </c>
      <c r="R109">
        <f t="shared" ref="R109" si="439">SUM($D$109+$E$109)</f>
        <v>3727945880.3280001</v>
      </c>
      <c r="S109">
        <v>611238872</v>
      </c>
      <c r="T109">
        <v>3116707008.3280001</v>
      </c>
      <c r="U109">
        <f t="shared" ref="U109" si="440">SUM($D$109+$E$109)</f>
        <v>3727945880.3280001</v>
      </c>
      <c r="V109">
        <v>611238872</v>
      </c>
      <c r="W109">
        <v>3116707008.3280001</v>
      </c>
      <c r="X109">
        <f t="shared" ref="X109" si="441">SUM($D$109+$E$109)</f>
        <v>3727945880.3280001</v>
      </c>
      <c r="Y109">
        <v>611238872</v>
      </c>
      <c r="Z109">
        <v>3116707008.3280001</v>
      </c>
      <c r="AA109">
        <f t="shared" ref="AA109" si="442">SUM($D$109+$E$109)</f>
        <v>3727945880.3280001</v>
      </c>
      <c r="AB109">
        <v>611238872</v>
      </c>
      <c r="AC109">
        <v>3116707008.3280001</v>
      </c>
      <c r="AD109">
        <f t="shared" ref="AD109" si="443">SUM($D$109+$E$109)</f>
        <v>3727945880.3280001</v>
      </c>
      <c r="AE109">
        <v>611238872</v>
      </c>
      <c r="AF109">
        <v>3116707008.3280001</v>
      </c>
      <c r="AG109">
        <f t="shared" ref="AG109" si="444">SUM($D$109+$E$109)</f>
        <v>3727945880.3280001</v>
      </c>
      <c r="AH109">
        <v>611238872</v>
      </c>
      <c r="AI109">
        <v>3116707008.3280001</v>
      </c>
      <c r="AJ109">
        <f t="shared" ref="AJ109" si="445">SUM($D$109+$E$109)</f>
        <v>3727945880.3280001</v>
      </c>
      <c r="AK109">
        <v>611238872</v>
      </c>
      <c r="AL109">
        <v>3116707008.3280001</v>
      </c>
      <c r="AM109">
        <f t="shared" ref="AM109" si="446">SUM($D$109+$E$109)</f>
        <v>3727945880.3280001</v>
      </c>
      <c r="AO109" s="15"/>
    </row>
    <row r="110" spans="2:42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7">SUM($D$110+$E$110)</f>
        <v>694856953.0308001</v>
      </c>
      <c r="J110">
        <v>191928227</v>
      </c>
      <c r="K110">
        <v>502928726.03080004</v>
      </c>
      <c r="L110">
        <f t="shared" ref="L110" si="448">SUM($D$110+$E$110)</f>
        <v>694856953.0308001</v>
      </c>
      <c r="M110">
        <v>191928227</v>
      </c>
      <c r="N110">
        <v>502928726.03080004</v>
      </c>
      <c r="O110">
        <f t="shared" ref="O110" si="449">SUM($D$110+$E$110)</f>
        <v>694856953.0308001</v>
      </c>
      <c r="P110">
        <v>191928227</v>
      </c>
      <c r="Q110">
        <v>502928726.03080004</v>
      </c>
      <c r="R110">
        <f t="shared" ref="R110" si="450">SUM($D$110+$E$110)</f>
        <v>694856953.0308001</v>
      </c>
      <c r="S110">
        <v>191928227</v>
      </c>
      <c r="T110">
        <v>502928726.03080004</v>
      </c>
      <c r="U110">
        <f t="shared" ref="U110" si="451">SUM($D$110+$E$110)</f>
        <v>694856953.0308001</v>
      </c>
      <c r="V110">
        <v>191928227</v>
      </c>
      <c r="W110">
        <v>502928726.03080004</v>
      </c>
      <c r="X110">
        <f t="shared" ref="X110" si="452">SUM($D$110+$E$110)</f>
        <v>694856953.0308001</v>
      </c>
      <c r="Y110">
        <v>191928227</v>
      </c>
      <c r="Z110">
        <v>502928726.03080004</v>
      </c>
      <c r="AA110">
        <f t="shared" ref="AA110" si="453">SUM($D$110+$E$110)</f>
        <v>694856953.0308001</v>
      </c>
      <c r="AB110">
        <v>191928227</v>
      </c>
      <c r="AC110">
        <v>502928726.03080004</v>
      </c>
      <c r="AD110">
        <f t="shared" ref="AD110" si="454">SUM($D$110+$E$110)</f>
        <v>694856953.0308001</v>
      </c>
      <c r="AE110">
        <v>191928227</v>
      </c>
      <c r="AF110">
        <v>502928726.03080004</v>
      </c>
      <c r="AG110">
        <f t="shared" ref="AG110" si="455">SUM($D$110+$E$110)</f>
        <v>694856953.0308001</v>
      </c>
      <c r="AH110">
        <v>191928227</v>
      </c>
      <c r="AI110">
        <v>502928726.03080004</v>
      </c>
      <c r="AJ110">
        <f t="shared" ref="AJ110" si="456">SUM($D$110+$E$110)</f>
        <v>694856953.0308001</v>
      </c>
      <c r="AK110">
        <v>191928227</v>
      </c>
      <c r="AL110">
        <v>502928726.03080004</v>
      </c>
      <c r="AM110">
        <f t="shared" ref="AM110" si="457">SUM($D$110+$E$110)</f>
        <v>694856953.0308001</v>
      </c>
      <c r="AO110" s="15"/>
    </row>
    <row r="111" spans="2:42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8">SUM($D$111+$E$111)</f>
        <v>1351797901.6561</v>
      </c>
      <c r="J111">
        <v>299315347</v>
      </c>
      <c r="K111">
        <v>1052482554.6561</v>
      </c>
      <c r="L111">
        <f t="shared" ref="L111" si="459">SUM($D$111+$E$111)</f>
        <v>1351797901.6561</v>
      </c>
      <c r="M111">
        <v>299315347</v>
      </c>
      <c r="N111">
        <v>1052482554.6561</v>
      </c>
      <c r="O111">
        <f t="shared" ref="O111" si="460">SUM($D$111+$E$111)</f>
        <v>1351797901.6561</v>
      </c>
      <c r="P111">
        <v>299315347</v>
      </c>
      <c r="Q111">
        <v>1052482554.6561</v>
      </c>
      <c r="R111">
        <f t="shared" ref="R111" si="461">SUM($D$111+$E$111)</f>
        <v>1351797901.6561</v>
      </c>
      <c r="S111">
        <v>299315347</v>
      </c>
      <c r="T111">
        <v>1052482554.6561</v>
      </c>
      <c r="U111">
        <f t="shared" ref="U111" si="462">SUM($D$111+$E$111)</f>
        <v>1351797901.6561</v>
      </c>
      <c r="V111">
        <v>299315347</v>
      </c>
      <c r="W111">
        <v>1052482554.6561</v>
      </c>
      <c r="X111">
        <f t="shared" ref="X111" si="463">SUM($D$111+$E$111)</f>
        <v>1351797901.6561</v>
      </c>
      <c r="Y111">
        <v>299315347</v>
      </c>
      <c r="Z111">
        <v>1052482554.6561</v>
      </c>
      <c r="AA111">
        <f t="shared" ref="AA111" si="464">SUM($D$111+$E$111)</f>
        <v>1351797901.6561</v>
      </c>
      <c r="AB111">
        <v>299315347</v>
      </c>
      <c r="AC111">
        <v>1052482554.6561</v>
      </c>
      <c r="AD111">
        <f t="shared" ref="AD111" si="465">SUM($D$111+$E$111)</f>
        <v>1351797901.6561</v>
      </c>
      <c r="AE111">
        <v>299315347</v>
      </c>
      <c r="AF111">
        <v>1052482554.6561</v>
      </c>
      <c r="AG111">
        <f t="shared" ref="AG111" si="466">SUM($D$111+$E$111)</f>
        <v>1351797901.6561</v>
      </c>
      <c r="AH111">
        <v>299315347</v>
      </c>
      <c r="AI111">
        <v>1052482554.6561</v>
      </c>
      <c r="AJ111">
        <f t="shared" ref="AJ111" si="467">SUM($D$111+$E$111)</f>
        <v>1351797901.6561</v>
      </c>
      <c r="AK111">
        <v>299315347</v>
      </c>
      <c r="AL111">
        <v>1052482554.6561</v>
      </c>
      <c r="AM111">
        <f t="shared" ref="AM111" si="468">SUM($D$111+$E$111)</f>
        <v>1351797901.6561</v>
      </c>
      <c r="AO111" s="15"/>
    </row>
    <row r="112" spans="2:42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9">SUM($D$112+$E$112)</f>
        <v>24995023.131999999</v>
      </c>
      <c r="J112">
        <v>17739548</v>
      </c>
      <c r="K112">
        <v>7255475.1319999993</v>
      </c>
      <c r="L112">
        <f t="shared" ref="L112" si="470">SUM($D$112+$E$112)</f>
        <v>24995023.131999999</v>
      </c>
      <c r="M112">
        <v>17739548</v>
      </c>
      <c r="N112">
        <v>7255475.1319999993</v>
      </c>
      <c r="O112">
        <f t="shared" ref="O112" si="471">SUM($D$112+$E$112)</f>
        <v>24995023.131999999</v>
      </c>
      <c r="P112">
        <v>17739548</v>
      </c>
      <c r="Q112">
        <v>7255475.1319999993</v>
      </c>
      <c r="R112">
        <f t="shared" ref="R112" si="472">SUM($D$112+$E$112)</f>
        <v>24995023.131999999</v>
      </c>
      <c r="S112">
        <v>17739548</v>
      </c>
      <c r="T112">
        <v>7255475.1319999993</v>
      </c>
      <c r="U112">
        <f t="shared" ref="U112" si="473">SUM($D$112+$E$112)</f>
        <v>24995023.131999999</v>
      </c>
      <c r="V112">
        <v>17739548</v>
      </c>
      <c r="W112">
        <v>7255475.1319999993</v>
      </c>
      <c r="X112">
        <f t="shared" ref="X112" si="474">SUM($D$112+$E$112)</f>
        <v>24995023.131999999</v>
      </c>
      <c r="Y112">
        <v>17739548</v>
      </c>
      <c r="Z112">
        <v>7255475.1319999993</v>
      </c>
      <c r="AA112">
        <f t="shared" ref="AA112" si="475">SUM($D$112+$E$112)</f>
        <v>24995023.131999999</v>
      </c>
      <c r="AB112">
        <v>17739548</v>
      </c>
      <c r="AC112">
        <v>7255475.1319999993</v>
      </c>
      <c r="AD112">
        <f t="shared" ref="AD112" si="476">SUM($D$112+$E$112)</f>
        <v>24995023.131999999</v>
      </c>
      <c r="AE112">
        <v>17739548</v>
      </c>
      <c r="AF112">
        <v>7255475.1319999993</v>
      </c>
      <c r="AG112">
        <f t="shared" ref="AG112" si="477">SUM($D$112+$E$112)</f>
        <v>24995023.131999999</v>
      </c>
      <c r="AH112">
        <v>17739548</v>
      </c>
      <c r="AI112">
        <v>7255475.1319999993</v>
      </c>
      <c r="AJ112">
        <f t="shared" ref="AJ112" si="478">SUM($D$112+$E$112)</f>
        <v>24995023.131999999</v>
      </c>
      <c r="AK112">
        <v>17739548</v>
      </c>
      <c r="AL112">
        <v>7255475.1319999993</v>
      </c>
      <c r="AM112">
        <f t="shared" ref="AM112" si="479">SUM($D$112+$E$112)</f>
        <v>24995023.131999999</v>
      </c>
      <c r="AO112" s="15"/>
    </row>
    <row r="113" spans="2:2">
      <c r="B113" s="2"/>
    </row>
    <row r="115" spans="2:2">
      <c r="B115" s="1"/>
    </row>
  </sheetData>
  <conditionalFormatting sqref="AO3:AO112">
    <cfRule type="cellIs" dxfId="5" priority="2" operator="lessThan">
      <formula>0.1</formula>
    </cfRule>
    <cfRule type="cellIs" dxfId="4" priority="1" operator="greaterThan">
      <formula>2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:B3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359</v>
      </c>
      <c r="B2" s="7" t="s">
        <v>363</v>
      </c>
    </row>
    <row r="3" spans="1:2" ht="21">
      <c r="A3" s="8" t="s">
        <v>361</v>
      </c>
      <c r="B3" s="9" t="s">
        <v>364</v>
      </c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:B3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363</v>
      </c>
      <c r="B2" s="13">
        <v>1358415911.6561</v>
      </c>
      <c r="L2" s="4"/>
      <c r="O2" s="4"/>
      <c r="R2" s="4"/>
      <c r="U2" s="4"/>
    </row>
    <row r="3" spans="1:21" ht="21">
      <c r="A3" s="8" t="s">
        <v>364</v>
      </c>
      <c r="B3" s="10">
        <v>25773694.131999999</v>
      </c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P26"/>
  <sheetViews>
    <sheetView zoomScale="120" zoomScaleNormal="120" workbookViewId="0">
      <pane xSplit="1" topLeftCell="B1" activePane="topRight" state="frozen"/>
      <selection pane="topRight" activeCell="F13" sqref="F13"/>
    </sheetView>
  </sheetViews>
  <sheetFormatPr defaultRowHeight="26.25"/>
  <cols>
    <col min="1" max="1" width="12.7109375" style="17" bestFit="1" customWidth="1"/>
    <col min="2" max="2" width="29.42578125" style="17" bestFit="1" customWidth="1"/>
    <col min="3" max="3" width="34.7109375" style="17" bestFit="1" customWidth="1"/>
    <col min="4" max="4" width="31.5703125" style="17" bestFit="1" customWidth="1"/>
    <col min="5" max="5" width="15.7109375" style="17" bestFit="1" customWidth="1"/>
    <col min="6" max="6" width="36.7109375" style="17" bestFit="1" customWidth="1"/>
    <col min="7" max="7" width="16.5703125" style="17" bestFit="1" customWidth="1"/>
    <col min="8" max="8" width="15.7109375" style="17" bestFit="1" customWidth="1"/>
    <col min="9" max="9" width="36.7109375" style="17" bestFit="1" customWidth="1"/>
    <col min="10" max="10" width="16.5703125" style="17" bestFit="1" customWidth="1"/>
    <col min="11" max="11" width="13.7109375" style="17" bestFit="1" customWidth="1"/>
    <col min="12" max="12" width="36.7109375" style="17" bestFit="1" customWidth="1"/>
    <col min="13" max="13" width="16.5703125" style="17" bestFit="1" customWidth="1"/>
    <col min="14" max="14" width="4" style="17" customWidth="1"/>
    <col min="15" max="15" width="10.42578125" style="17" bestFit="1" customWidth="1"/>
    <col min="16" max="16" width="9.5703125" style="17" bestFit="1" customWidth="1"/>
    <col min="17" max="16384" width="9.140625" style="17"/>
  </cols>
  <sheetData>
    <row r="1" spans="1:16">
      <c r="B1" s="18" t="s">
        <v>163</v>
      </c>
      <c r="C1" s="19" t="s">
        <v>164</v>
      </c>
      <c r="D1" s="19" t="s">
        <v>165</v>
      </c>
      <c r="E1" s="20" t="s">
        <v>167</v>
      </c>
      <c r="F1" s="18" t="s">
        <v>166</v>
      </c>
      <c r="G1" s="20" t="s">
        <v>167</v>
      </c>
    </row>
    <row r="2" spans="1:16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4"/>
    </row>
    <row r="3" spans="1:16">
      <c r="A3" s="25">
        <v>45599</v>
      </c>
      <c r="B3" s="26">
        <v>12251953579</v>
      </c>
      <c r="C3" s="26">
        <v>72412119703.697403</v>
      </c>
      <c r="D3" s="26">
        <v>84664073282.697403</v>
      </c>
      <c r="E3" s="27">
        <f>(D3/D2)-1</f>
        <v>0.554639948435387</v>
      </c>
      <c r="F3" s="26">
        <f>C23</f>
        <v>9367388175111</v>
      </c>
      <c r="G3" s="28"/>
    </row>
    <row r="4" spans="1:16">
      <c r="A4" s="25">
        <v>45627</v>
      </c>
      <c r="B4" s="26">
        <v>20311041254</v>
      </c>
      <c r="C4" s="26">
        <v>130331898314.60237</v>
      </c>
      <c r="D4" s="26">
        <v>150642939568.60236</v>
      </c>
      <c r="E4" s="27">
        <f>(D4/D3)-1</f>
        <v>0.77930181867813464</v>
      </c>
      <c r="F4" s="26">
        <f>F23</f>
        <v>14423683909608</v>
      </c>
      <c r="G4" s="28">
        <f>(F4/F3)-1</f>
        <v>0.53977647130408202</v>
      </c>
    </row>
    <row r="5" spans="1:16">
      <c r="A5" s="25">
        <v>45637</v>
      </c>
      <c r="B5" s="26">
        <v>27568617066</v>
      </c>
      <c r="C5" s="26">
        <v>176357359077.21179</v>
      </c>
      <c r="D5" s="26">
        <v>203925976143.21182</v>
      </c>
      <c r="E5" s="27">
        <f>(D5/D4)-1</f>
        <v>0.35370417443523472</v>
      </c>
      <c r="F5" s="26">
        <f>I23</f>
        <v>16807977610645</v>
      </c>
      <c r="G5" s="28">
        <f>(F5/F4)-1</f>
        <v>0.16530407321591123</v>
      </c>
      <c r="K5" s="29"/>
    </row>
    <row r="6" spans="1:16">
      <c r="A6" s="25">
        <v>45669</v>
      </c>
      <c r="B6" s="26">
        <v>50544502728</v>
      </c>
      <c r="C6" s="26">
        <v>365640508685.70178</v>
      </c>
      <c r="D6" s="26">
        <v>416185011413.7019</v>
      </c>
      <c r="E6" s="27">
        <f>(D6/D5)-1</f>
        <v>1.0408631567438285</v>
      </c>
      <c r="F6" s="26">
        <f>L23</f>
        <v>23131061313318</v>
      </c>
      <c r="G6" s="27">
        <f>(F6/F5)-1</f>
        <v>0.37619539061429963</v>
      </c>
      <c r="H6" s="30"/>
      <c r="K6" s="29"/>
    </row>
    <row r="7" spans="1:16" hidden="1">
      <c r="A7" s="31">
        <v>45669</v>
      </c>
      <c r="B7" s="32">
        <v>58613941306</v>
      </c>
      <c r="C7" s="32">
        <v>441775011147.23444</v>
      </c>
      <c r="D7" s="32">
        <v>500388952453.23456</v>
      </c>
      <c r="E7" s="33"/>
      <c r="F7" s="26">
        <f>L23</f>
        <v>23131061313318</v>
      </c>
      <c r="G7" s="28">
        <f>(F6/F5)-1</f>
        <v>0.37619539061429963</v>
      </c>
      <c r="H7" s="34"/>
      <c r="K7" s="29"/>
    </row>
    <row r="8" spans="1:16">
      <c r="A8" s="35" t="s">
        <v>188</v>
      </c>
      <c r="B8" s="36">
        <f>B6-B5</f>
        <v>22975885662</v>
      </c>
      <c r="C8" s="36">
        <f>C6-C5</f>
        <v>189283149608.48999</v>
      </c>
      <c r="D8" s="36">
        <f>D6-D5</f>
        <v>212259035270.49008</v>
      </c>
      <c r="E8" s="37"/>
      <c r="F8" s="36">
        <f>F6-F5</f>
        <v>6323083702673</v>
      </c>
      <c r="G8" s="38"/>
      <c r="H8" s="34"/>
    </row>
    <row r="9" spans="1:16" ht="391.5" customHeight="1"/>
    <row r="10" spans="1:16">
      <c r="B10" s="54">
        <v>45599</v>
      </c>
      <c r="C10" s="55"/>
      <c r="D10" s="56"/>
      <c r="E10" s="55">
        <v>45627</v>
      </c>
      <c r="F10" s="55"/>
      <c r="G10" s="56"/>
      <c r="H10" s="55">
        <v>45636</v>
      </c>
      <c r="I10" s="55"/>
      <c r="J10" s="56"/>
      <c r="K10" s="55">
        <v>45669</v>
      </c>
      <c r="L10" s="55"/>
      <c r="M10" s="56"/>
      <c r="N10" s="39"/>
      <c r="O10" s="57" t="s">
        <v>186</v>
      </c>
      <c r="P10" s="57"/>
    </row>
    <row r="11" spans="1:16">
      <c r="A11" s="40" t="s">
        <v>180</v>
      </c>
      <c r="B11" s="41" t="s">
        <v>181</v>
      </c>
      <c r="C11" s="42" t="s">
        <v>179</v>
      </c>
      <c r="D11" s="43" t="s">
        <v>182</v>
      </c>
      <c r="E11" s="42" t="s">
        <v>181</v>
      </c>
      <c r="F11" s="42" t="s">
        <v>179</v>
      </c>
      <c r="G11" s="43" t="s">
        <v>182</v>
      </c>
      <c r="H11" s="42" t="s">
        <v>181</v>
      </c>
      <c r="I11" s="42" t="s">
        <v>179</v>
      </c>
      <c r="J11" s="43" t="s">
        <v>182</v>
      </c>
      <c r="K11" s="42" t="s">
        <v>181</v>
      </c>
      <c r="L11" s="42" t="s">
        <v>179</v>
      </c>
      <c r="M11" s="43" t="s">
        <v>182</v>
      </c>
      <c r="O11" s="17" t="s">
        <v>181</v>
      </c>
      <c r="P11" s="17" t="s">
        <v>187</v>
      </c>
    </row>
    <row r="12" spans="1:16">
      <c r="A12" s="44" t="s">
        <v>168</v>
      </c>
      <c r="B12" s="45">
        <v>30</v>
      </c>
      <c r="C12" s="26">
        <v>1548603167792</v>
      </c>
      <c r="D12" s="46"/>
      <c r="E12" s="17">
        <v>30</v>
      </c>
      <c r="F12" s="26">
        <v>1502097804235</v>
      </c>
      <c r="G12" s="46"/>
      <c r="H12" s="17">
        <v>30</v>
      </c>
      <c r="I12" s="26">
        <v>1759290107250</v>
      </c>
      <c r="J12" s="46"/>
      <c r="K12" s="17">
        <v>30</v>
      </c>
      <c r="L12" s="26">
        <v>2221994435332</v>
      </c>
      <c r="M12" s="46"/>
      <c r="N12" s="47"/>
      <c r="O12" s="29">
        <f>(K12/H12)-1</f>
        <v>0</v>
      </c>
      <c r="P12" s="29"/>
    </row>
    <row r="13" spans="1:16">
      <c r="A13" s="44" t="s">
        <v>169</v>
      </c>
      <c r="B13" s="45">
        <v>250</v>
      </c>
      <c r="C13" s="26">
        <v>208697426935</v>
      </c>
      <c r="D13" s="46"/>
      <c r="E13" s="17">
        <v>250</v>
      </c>
      <c r="F13" s="26">
        <v>206167253798</v>
      </c>
      <c r="G13" s="46"/>
      <c r="H13" s="17">
        <v>250</v>
      </c>
      <c r="I13" s="26">
        <v>125932215358</v>
      </c>
      <c r="J13" s="46"/>
      <c r="K13" s="17">
        <v>250</v>
      </c>
      <c r="L13" s="26">
        <v>306750926247</v>
      </c>
      <c r="M13" s="46"/>
      <c r="N13" s="47"/>
      <c r="O13" s="29">
        <f t="shared" ref="O13:O21" si="0">(K13/H13)-1</f>
        <v>0</v>
      </c>
      <c r="P13" s="29"/>
    </row>
    <row r="14" spans="1:16">
      <c r="A14" s="44" t="s">
        <v>177</v>
      </c>
      <c r="B14" s="45">
        <v>0</v>
      </c>
      <c r="C14" s="26">
        <v>0</v>
      </c>
      <c r="D14" s="46">
        <v>0</v>
      </c>
      <c r="E14" s="17">
        <v>12</v>
      </c>
      <c r="F14" s="26">
        <v>1118898900974</v>
      </c>
      <c r="G14" s="46">
        <v>28.32</v>
      </c>
      <c r="H14" s="17">
        <v>12</v>
      </c>
      <c r="I14" s="26">
        <v>1702738907169</v>
      </c>
      <c r="J14" s="46">
        <f>H14*2.17</f>
        <v>26.04</v>
      </c>
      <c r="K14" s="17">
        <v>12</v>
      </c>
      <c r="L14" s="26">
        <v>2726215768426</v>
      </c>
      <c r="M14" s="46">
        <f>K14*2.52</f>
        <v>30.240000000000002</v>
      </c>
      <c r="N14" s="47"/>
      <c r="O14" s="29">
        <f t="shared" ref="O14" si="1">(K14/H14)-1</f>
        <v>0</v>
      </c>
      <c r="P14" s="29">
        <f>(M14/J14)-1</f>
        <v>0.16129032258064524</v>
      </c>
    </row>
    <row r="15" spans="1:16">
      <c r="A15" s="44" t="s">
        <v>170</v>
      </c>
      <c r="B15" s="45">
        <v>80</v>
      </c>
      <c r="C15" s="26">
        <v>1297662855427</v>
      </c>
      <c r="D15" s="46">
        <v>13.600000000000001</v>
      </c>
      <c r="E15" s="17">
        <v>80</v>
      </c>
      <c r="F15" s="26">
        <v>1302568301015</v>
      </c>
      <c r="G15" s="46">
        <v>16.8</v>
      </c>
      <c r="H15" s="17">
        <v>80</v>
      </c>
      <c r="I15" s="26">
        <v>1634983755968</v>
      </c>
      <c r="J15" s="46">
        <f>H15*0.26</f>
        <v>20.8</v>
      </c>
      <c r="K15" s="17">
        <v>75</v>
      </c>
      <c r="L15" s="26">
        <v>2205346731062</v>
      </c>
      <c r="M15" s="46">
        <f>K15*0.23</f>
        <v>17.25</v>
      </c>
      <c r="N15" s="47"/>
      <c r="O15" s="29">
        <f t="shared" si="0"/>
        <v>-6.25E-2</v>
      </c>
      <c r="P15" s="29">
        <f>(M15/J15)-1</f>
        <v>-0.17067307692307698</v>
      </c>
    </row>
    <row r="16" spans="1:16">
      <c r="A16" s="44" t="s">
        <v>171</v>
      </c>
      <c r="B16" s="45">
        <v>130</v>
      </c>
      <c r="C16" s="26">
        <v>2047287373871</v>
      </c>
      <c r="D16" s="46">
        <v>19.5</v>
      </c>
      <c r="E16" s="17">
        <v>60</v>
      </c>
      <c r="F16" s="26">
        <v>2012167325881</v>
      </c>
      <c r="G16" s="46">
        <v>25.2</v>
      </c>
      <c r="H16" s="17">
        <v>50</v>
      </c>
      <c r="I16" s="26">
        <v>1772464005566</v>
      </c>
      <c r="J16" s="46">
        <f>H16*0.4</f>
        <v>20</v>
      </c>
      <c r="K16" s="17">
        <v>54</v>
      </c>
      <c r="L16" s="26">
        <v>2253461445694</v>
      </c>
      <c r="M16" s="46">
        <f>K16*0.34</f>
        <v>18.360000000000003</v>
      </c>
      <c r="N16" s="47"/>
      <c r="O16" s="29">
        <f t="shared" si="0"/>
        <v>8.0000000000000071E-2</v>
      </c>
      <c r="P16" s="29">
        <f t="shared" ref="P16:P22" si="2">(M16/J16)-1</f>
        <v>-8.1999999999999851E-2</v>
      </c>
    </row>
    <row r="17" spans="1:16">
      <c r="A17" s="44" t="s">
        <v>172</v>
      </c>
      <c r="B17" s="45">
        <v>2.0000000000000001E-4</v>
      </c>
      <c r="C17" s="26">
        <v>12085680872</v>
      </c>
      <c r="D17" s="46">
        <v>13.746352</v>
      </c>
      <c r="E17" s="17">
        <v>2.2000000000000001E-4</v>
      </c>
      <c r="F17" s="26">
        <v>1704527581437</v>
      </c>
      <c r="G17" s="46">
        <v>21.222341800000002</v>
      </c>
      <c r="H17" s="17">
        <v>2.2000000000000001E-4</v>
      </c>
      <c r="I17" s="26">
        <v>1825404392412</v>
      </c>
      <c r="J17" s="46">
        <f>H17*97077.3</f>
        <v>21.357006000000002</v>
      </c>
      <c r="K17" s="17">
        <v>2.0000000000000001E-4</v>
      </c>
      <c r="L17" s="26">
        <v>2330547934306</v>
      </c>
      <c r="M17" s="46">
        <f>K17*94368.95</f>
        <v>18.87379</v>
      </c>
      <c r="N17" s="47"/>
      <c r="O17" s="29">
        <f t="shared" si="0"/>
        <v>-9.0909090909090939E-2</v>
      </c>
      <c r="P17" s="29">
        <f t="shared" si="2"/>
        <v>-0.11627172834993826</v>
      </c>
    </row>
    <row r="18" spans="1:16">
      <c r="A18" s="44" t="s">
        <v>173</v>
      </c>
      <c r="B18" s="45">
        <v>1.8E-3</v>
      </c>
      <c r="C18" s="26">
        <v>479952872411</v>
      </c>
      <c r="D18" s="46">
        <v>4.4214120000000001</v>
      </c>
      <c r="E18" s="17">
        <v>6.0000000000000001E-3</v>
      </c>
      <c r="F18" s="26">
        <v>1720775968166</v>
      </c>
      <c r="G18" s="46">
        <v>22.238040000000002</v>
      </c>
      <c r="H18" s="17">
        <v>6.0000000000000001E-3</v>
      </c>
      <c r="I18" s="26">
        <v>1622701741665</v>
      </c>
      <c r="J18" s="46">
        <f>H18*3709.17</f>
        <v>22.255020000000002</v>
      </c>
      <c r="K18" s="17">
        <v>5.4999999999999997E-3</v>
      </c>
      <c r="L18" s="26">
        <v>2280837794775</v>
      </c>
      <c r="M18" s="46">
        <f>K18*3266.09</f>
        <v>17.963494999999998</v>
      </c>
      <c r="N18" s="47"/>
      <c r="O18" s="29">
        <f t="shared" si="0"/>
        <v>-8.333333333333337E-2</v>
      </c>
      <c r="P18" s="29">
        <f t="shared" si="2"/>
        <v>-0.19283402126801064</v>
      </c>
    </row>
    <row r="19" spans="1:16">
      <c r="A19" s="44" t="s">
        <v>174</v>
      </c>
      <c r="B19" s="45">
        <v>2.8000000000000001E-2</v>
      </c>
      <c r="C19" s="26">
        <v>1223789587623</v>
      </c>
      <c r="D19" s="46">
        <v>15.62372</v>
      </c>
      <c r="E19" s="17">
        <v>2.5000000000000001E-2</v>
      </c>
      <c r="F19" s="26">
        <v>1247222939191</v>
      </c>
      <c r="G19" s="46">
        <v>16.365000000000002</v>
      </c>
      <c r="H19" s="17">
        <v>2.5999999999999999E-2</v>
      </c>
      <c r="I19" s="26">
        <v>1418667829635</v>
      </c>
      <c r="J19" s="46">
        <f>H19*691.86</f>
        <v>17.98836</v>
      </c>
      <c r="K19" s="17">
        <v>2.5000000000000001E-2</v>
      </c>
      <c r="L19" s="26">
        <v>2298815415687</v>
      </c>
      <c r="M19" s="46">
        <f>K19*693.25</f>
        <v>17.331250000000001</v>
      </c>
      <c r="N19" s="47"/>
      <c r="O19" s="29">
        <f t="shared" si="0"/>
        <v>-3.8461538461538325E-2</v>
      </c>
      <c r="P19" s="29">
        <f t="shared" si="2"/>
        <v>-3.6529733672219122E-2</v>
      </c>
    </row>
    <row r="20" spans="1:16">
      <c r="A20" s="44" t="s">
        <v>175</v>
      </c>
      <c r="B20" s="45">
        <v>9</v>
      </c>
      <c r="C20" s="26">
        <v>435521914006</v>
      </c>
      <c r="D20" s="46">
        <v>2.61</v>
      </c>
      <c r="E20" s="17">
        <v>35</v>
      </c>
      <c r="F20" s="26">
        <v>1042715534192</v>
      </c>
      <c r="G20" s="46">
        <v>21</v>
      </c>
      <c r="H20" s="17">
        <v>32</v>
      </c>
      <c r="I20" s="26">
        <v>1442402830997</v>
      </c>
      <c r="J20" s="46">
        <f>H20*0.58</f>
        <v>18.559999999999999</v>
      </c>
      <c r="K20" s="17">
        <v>35</v>
      </c>
      <c r="L20" s="26">
        <v>1973976180061</v>
      </c>
      <c r="M20" s="46">
        <f>K20*0.45</f>
        <v>15.75</v>
      </c>
      <c r="N20" s="47"/>
      <c r="O20" s="29">
        <f t="shared" si="0"/>
        <v>9.375E-2</v>
      </c>
      <c r="P20" s="29">
        <f t="shared" si="2"/>
        <v>-0.15140086206896541</v>
      </c>
    </row>
    <row r="21" spans="1:16">
      <c r="A21" s="44" t="s">
        <v>176</v>
      </c>
      <c r="B21" s="45">
        <v>0.08</v>
      </c>
      <c r="C21" s="26">
        <v>1087209850989</v>
      </c>
      <c r="D21" s="46">
        <v>12.9968</v>
      </c>
      <c r="E21" s="17">
        <v>0.08</v>
      </c>
      <c r="F21" s="26">
        <v>1052273875232</v>
      </c>
      <c r="G21" s="46">
        <v>19.0184</v>
      </c>
      <c r="H21" s="17">
        <v>0.1</v>
      </c>
      <c r="I21" s="26">
        <v>1574349133827</v>
      </c>
      <c r="J21" s="46">
        <f>H21*213.75</f>
        <v>21.375</v>
      </c>
      <c r="K21" s="17">
        <v>0.11</v>
      </c>
      <c r="L21" s="26">
        <v>2026932602116</v>
      </c>
      <c r="M21" s="46">
        <f>K21*188.3</f>
        <v>20.713000000000001</v>
      </c>
      <c r="N21" s="47"/>
      <c r="O21" s="29">
        <f t="shared" si="0"/>
        <v>9.9999999999999867E-2</v>
      </c>
      <c r="P21" s="29">
        <f t="shared" si="2"/>
        <v>-3.0970760233918093E-2</v>
      </c>
    </row>
    <row r="22" spans="1:16">
      <c r="A22" s="44" t="s">
        <v>178</v>
      </c>
      <c r="B22" s="45">
        <v>0.24</v>
      </c>
      <c r="C22" s="26">
        <v>1026577445185</v>
      </c>
      <c r="D22" s="46">
        <v>16.041599999999999</v>
      </c>
      <c r="E22" s="17">
        <v>0.3</v>
      </c>
      <c r="F22" s="26">
        <v>1514268425487</v>
      </c>
      <c r="G22" s="46">
        <v>30.839999999999996</v>
      </c>
      <c r="H22" s="17">
        <v>0.3</v>
      </c>
      <c r="I22" s="26">
        <v>1929042690798</v>
      </c>
      <c r="J22" s="46">
        <f>H22*109.91</f>
        <v>32.972999999999999</v>
      </c>
      <c r="K22" s="17">
        <v>0.28000000000000003</v>
      </c>
      <c r="L22" s="26">
        <v>2506182079612</v>
      </c>
      <c r="M22" s="46">
        <f>K22*102.45</f>
        <v>28.686000000000003</v>
      </c>
      <c r="N22" s="47"/>
      <c r="O22" s="29">
        <f>(K22/H22)-1</f>
        <v>-6.6666666666666541E-2</v>
      </c>
      <c r="P22" s="29">
        <f t="shared" si="2"/>
        <v>-0.13001546720043655</v>
      </c>
    </row>
    <row r="23" spans="1:16">
      <c r="A23" s="40" t="s">
        <v>183</v>
      </c>
      <c r="B23" s="48"/>
      <c r="C23" s="36">
        <f>SUM(C12:C22)</f>
        <v>9367388175111</v>
      </c>
      <c r="D23" s="49">
        <f>SUM(D14:D22)</f>
        <v>98.539884000000015</v>
      </c>
      <c r="E23" s="50"/>
      <c r="F23" s="36">
        <f>SUM(F12:F22)</f>
        <v>14423683909608</v>
      </c>
      <c r="G23" s="49">
        <f>SUM(G14:G22)</f>
        <v>201.00378179999998</v>
      </c>
      <c r="H23" s="50"/>
      <c r="I23" s="36">
        <f>SUM(I12:I22)</f>
        <v>16807977610645</v>
      </c>
      <c r="J23" s="49">
        <f>SUM(J14:J22)</f>
        <v>201.348386</v>
      </c>
      <c r="K23" s="50"/>
      <c r="L23" s="36">
        <f>SUM(L12:L22)</f>
        <v>23131061313318</v>
      </c>
      <c r="M23" s="49">
        <f>SUM(M14:M22)</f>
        <v>185.16753499999999</v>
      </c>
      <c r="N23" s="47"/>
      <c r="O23" s="51">
        <f>AVERAGE(O12:O22)</f>
        <v>-6.1927844882390219E-3</v>
      </c>
      <c r="P23" s="52">
        <f>(M23/J23)-1</f>
        <v>-8.0362456940678006E-2</v>
      </c>
    </row>
    <row r="26" spans="1:16">
      <c r="J26" s="53"/>
    </row>
  </sheetData>
  <mergeCells count="5">
    <mergeCell ref="B10:D10"/>
    <mergeCell ref="H10:J10"/>
    <mergeCell ref="O10:P10"/>
    <mergeCell ref="K10:M10"/>
    <mergeCell ref="E10:G10"/>
  </mergeCells>
  <conditionalFormatting sqref="O12:O23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P12:P2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Robson Costa Cassemiro</cp:lastModifiedBy>
  <dcterms:created xsi:type="dcterms:W3CDTF">2024-07-22T13:11:05Z</dcterms:created>
  <dcterms:modified xsi:type="dcterms:W3CDTF">2025-01-16T00:13:21Z</dcterms:modified>
</cp:coreProperties>
</file>