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esktop\CANAL\PLANILHAS\RANKING\"/>
    </mc:Choice>
  </mc:AlternateContent>
  <xr:revisionPtr revIDLastSave="0" documentId="13_ncr:1_{0F090626-EC46-4B47-8D92-4463AF7F8A3A}" xr6:coauthVersionLast="47" xr6:coauthVersionMax="47" xr10:uidLastSave="{00000000-0000-0000-0000-000000000000}"/>
  <bookViews>
    <workbookView xWindow="-120" yWindow="-120" windowWidth="29040" windowHeight="15720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6" l="1"/>
  <c r="AO62" i="3"/>
  <c r="AO82" i="3"/>
  <c r="AO11" i="3"/>
  <c r="AO35" i="3"/>
  <c r="AO77" i="3"/>
  <c r="AO4" i="3"/>
  <c r="AO5" i="3"/>
  <c r="AO6" i="3"/>
  <c r="AO7" i="3"/>
  <c r="AO8" i="3"/>
  <c r="AO9" i="3"/>
  <c r="AO10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4" i="3"/>
  <c r="AO55" i="3"/>
  <c r="AO56" i="3"/>
  <c r="AO57" i="3"/>
  <c r="AO58" i="3"/>
  <c r="AO59" i="3"/>
  <c r="AO60" i="3"/>
  <c r="AO61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8" i="3"/>
  <c r="AO79" i="3"/>
  <c r="AO80" i="3"/>
  <c r="AO81" i="3"/>
  <c r="AO83" i="3"/>
  <c r="AO85" i="3"/>
  <c r="AO87" i="3"/>
  <c r="AO89" i="3"/>
  <c r="AO90" i="3"/>
  <c r="AO91" i="3"/>
  <c r="AO92" i="3"/>
  <c r="AO93" i="3"/>
  <c r="AO95" i="3"/>
  <c r="AO97" i="3"/>
  <c r="AO98" i="3"/>
  <c r="AO3" i="3"/>
  <c r="P23" i="6"/>
  <c r="O23" i="6"/>
  <c r="O14" i="6"/>
  <c r="P14" i="6"/>
  <c r="O22" i="6"/>
  <c r="J22" i="6"/>
  <c r="M22" i="6"/>
  <c r="J21" i="6"/>
  <c r="M21" i="6"/>
  <c r="J20" i="6"/>
  <c r="M20" i="6"/>
  <c r="J19" i="6"/>
  <c r="M19" i="6"/>
  <c r="J18" i="6"/>
  <c r="M18" i="6"/>
  <c r="J17" i="6"/>
  <c r="M17" i="6"/>
  <c r="J16" i="6"/>
  <c r="M16" i="6"/>
  <c r="J15" i="6"/>
  <c r="M15" i="6"/>
  <c r="J14" i="6"/>
  <c r="M14" i="6"/>
  <c r="M23" i="6"/>
  <c r="L23" i="6"/>
  <c r="J23" i="6"/>
  <c r="I23" i="6"/>
  <c r="F23" i="6"/>
  <c r="G23" i="6"/>
  <c r="C23" i="6"/>
  <c r="D23" i="6"/>
  <c r="AM112" i="3"/>
  <c r="AJ112" i="3"/>
  <c r="AG112" i="3"/>
  <c r="AD112" i="3"/>
  <c r="AA112" i="3"/>
  <c r="X112" i="3"/>
  <c r="U112" i="3"/>
  <c r="R112" i="3"/>
  <c r="O112" i="3"/>
  <c r="L112" i="3"/>
  <c r="I112" i="3"/>
  <c r="AM111" i="3"/>
  <c r="AJ111" i="3"/>
  <c r="AG111" i="3"/>
  <c r="AD111" i="3"/>
  <c r="AA111" i="3"/>
  <c r="X111" i="3"/>
  <c r="U111" i="3"/>
  <c r="R111" i="3"/>
  <c r="O111" i="3"/>
  <c r="L111" i="3"/>
  <c r="I111" i="3"/>
  <c r="F112" i="3"/>
  <c r="F111" i="3"/>
  <c r="D8" i="6"/>
  <c r="E3" i="6"/>
  <c r="E5" i="6"/>
  <c r="E4" i="6"/>
  <c r="F5" i="6"/>
  <c r="F4" i="6"/>
  <c r="AM110" i="3"/>
  <c r="AJ110" i="3"/>
  <c r="AG110" i="3"/>
  <c r="AD110" i="3"/>
  <c r="AA110" i="3"/>
  <c r="X110" i="3"/>
  <c r="U110" i="3"/>
  <c r="R110" i="3"/>
  <c r="O110" i="3"/>
  <c r="L110" i="3"/>
  <c r="I110" i="3"/>
  <c r="AM109" i="3"/>
  <c r="AJ109" i="3"/>
  <c r="AG109" i="3"/>
  <c r="AD109" i="3"/>
  <c r="AA109" i="3"/>
  <c r="X109" i="3"/>
  <c r="U109" i="3"/>
  <c r="R109" i="3"/>
  <c r="O109" i="3"/>
  <c r="L109" i="3"/>
  <c r="I109" i="3"/>
  <c r="AM108" i="3"/>
  <c r="AJ108" i="3"/>
  <c r="AG108" i="3"/>
  <c r="AD108" i="3"/>
  <c r="AA108" i="3"/>
  <c r="X108" i="3"/>
  <c r="U108" i="3"/>
  <c r="R108" i="3"/>
  <c r="O108" i="3"/>
  <c r="L108" i="3"/>
  <c r="I108" i="3"/>
  <c r="AM107" i="3"/>
  <c r="AJ107" i="3"/>
  <c r="AG107" i="3"/>
  <c r="AD107" i="3"/>
  <c r="AA107" i="3"/>
  <c r="X107" i="3"/>
  <c r="U107" i="3"/>
  <c r="R107" i="3"/>
  <c r="O107" i="3"/>
  <c r="L107" i="3"/>
  <c r="I107" i="3"/>
  <c r="AM106" i="3"/>
  <c r="AJ106" i="3"/>
  <c r="AG106" i="3"/>
  <c r="AD106" i="3"/>
  <c r="AA106" i="3"/>
  <c r="X106" i="3"/>
  <c r="U106" i="3"/>
  <c r="R106" i="3"/>
  <c r="O106" i="3"/>
  <c r="L106" i="3"/>
  <c r="I106" i="3"/>
  <c r="AM105" i="3"/>
  <c r="AJ105" i="3"/>
  <c r="AG105" i="3"/>
  <c r="AD105" i="3"/>
  <c r="AA105" i="3"/>
  <c r="X105" i="3"/>
  <c r="U105" i="3"/>
  <c r="R105" i="3"/>
  <c r="O105" i="3"/>
  <c r="L105" i="3"/>
  <c r="I105" i="3"/>
  <c r="AM104" i="3"/>
  <c r="AJ104" i="3"/>
  <c r="AG104" i="3"/>
  <c r="AD104" i="3"/>
  <c r="AA104" i="3"/>
  <c r="X104" i="3"/>
  <c r="U104" i="3"/>
  <c r="R104" i="3"/>
  <c r="O104" i="3"/>
  <c r="L104" i="3"/>
  <c r="I104" i="3"/>
  <c r="AM103" i="3"/>
  <c r="AJ103" i="3"/>
  <c r="AG103" i="3"/>
  <c r="AD103" i="3"/>
  <c r="AA103" i="3"/>
  <c r="X103" i="3"/>
  <c r="U103" i="3"/>
  <c r="R103" i="3"/>
  <c r="O103" i="3"/>
  <c r="L103" i="3"/>
  <c r="I103" i="3"/>
  <c r="AM102" i="3"/>
  <c r="AJ102" i="3"/>
  <c r="AG102" i="3"/>
  <c r="AD102" i="3"/>
  <c r="AA102" i="3"/>
  <c r="X102" i="3"/>
  <c r="U102" i="3"/>
  <c r="R102" i="3"/>
  <c r="O102" i="3"/>
  <c r="L102" i="3"/>
  <c r="I102" i="3"/>
  <c r="AM101" i="3"/>
  <c r="AJ101" i="3"/>
  <c r="AG101" i="3"/>
  <c r="AD101" i="3"/>
  <c r="AA101" i="3"/>
  <c r="X101" i="3"/>
  <c r="U101" i="3"/>
  <c r="R101" i="3"/>
  <c r="O101" i="3"/>
  <c r="L101" i="3"/>
  <c r="I101" i="3"/>
  <c r="AM100" i="3"/>
  <c r="AJ100" i="3"/>
  <c r="AG100" i="3"/>
  <c r="AD100" i="3"/>
  <c r="AA100" i="3"/>
  <c r="X100" i="3"/>
  <c r="U100" i="3"/>
  <c r="R100" i="3"/>
  <c r="O100" i="3"/>
  <c r="L100" i="3"/>
  <c r="I100" i="3"/>
  <c r="AM99" i="3"/>
  <c r="AJ99" i="3"/>
  <c r="AG99" i="3"/>
  <c r="AD99" i="3"/>
  <c r="AA99" i="3"/>
  <c r="X99" i="3"/>
  <c r="U99" i="3"/>
  <c r="R99" i="3"/>
  <c r="O99" i="3"/>
  <c r="L99" i="3"/>
  <c r="I99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AM98" i="3"/>
  <c r="AM97" i="3"/>
  <c r="AM96" i="3"/>
  <c r="AM95" i="3"/>
  <c r="AM94" i="3"/>
  <c r="AM93" i="3"/>
  <c r="AM92" i="3"/>
  <c r="AM91" i="3"/>
  <c r="AM90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5" i="3"/>
  <c r="AM64" i="3"/>
  <c r="AM63" i="3"/>
  <c r="AM62" i="3"/>
  <c r="AM61" i="3"/>
  <c r="AM60" i="3"/>
  <c r="AM59" i="3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J98" i="3"/>
  <c r="AG98" i="3"/>
  <c r="AD98" i="3"/>
  <c r="AA98" i="3"/>
  <c r="X98" i="3"/>
  <c r="U98" i="3"/>
  <c r="R98" i="3"/>
  <c r="O98" i="3"/>
  <c r="L98" i="3"/>
  <c r="I98" i="3"/>
  <c r="AJ97" i="3"/>
  <c r="AG97" i="3"/>
  <c r="AD97" i="3"/>
  <c r="AA97" i="3"/>
  <c r="X97" i="3"/>
  <c r="U97" i="3"/>
  <c r="R97" i="3"/>
  <c r="O97" i="3"/>
  <c r="L97" i="3"/>
  <c r="I97" i="3"/>
  <c r="AJ96" i="3"/>
  <c r="AG96" i="3"/>
  <c r="AD96" i="3"/>
  <c r="AA96" i="3"/>
  <c r="X96" i="3"/>
  <c r="U96" i="3"/>
  <c r="R96" i="3"/>
  <c r="O96" i="3"/>
  <c r="L96" i="3"/>
  <c r="I96" i="3"/>
  <c r="AJ95" i="3"/>
  <c r="AG95" i="3"/>
  <c r="AD95" i="3"/>
  <c r="AA95" i="3"/>
  <c r="X95" i="3"/>
  <c r="U95" i="3"/>
  <c r="R95" i="3"/>
  <c r="O95" i="3"/>
  <c r="L95" i="3"/>
  <c r="I95" i="3"/>
  <c r="AJ94" i="3"/>
  <c r="AG94" i="3"/>
  <c r="AD94" i="3"/>
  <c r="AA94" i="3"/>
  <c r="X94" i="3"/>
  <c r="U94" i="3"/>
  <c r="R94" i="3"/>
  <c r="O94" i="3"/>
  <c r="L94" i="3"/>
  <c r="I94" i="3"/>
  <c r="AJ93" i="3"/>
  <c r="AG93" i="3"/>
  <c r="AD93" i="3"/>
  <c r="AA93" i="3"/>
  <c r="X93" i="3"/>
  <c r="U93" i="3"/>
  <c r="R93" i="3"/>
  <c r="O93" i="3"/>
  <c r="L93" i="3"/>
  <c r="I93" i="3"/>
  <c r="AJ92" i="3"/>
  <c r="AG92" i="3"/>
  <c r="AD92" i="3"/>
  <c r="AA92" i="3"/>
  <c r="X92" i="3"/>
  <c r="U92" i="3"/>
  <c r="R92" i="3"/>
  <c r="O92" i="3"/>
  <c r="L92" i="3"/>
  <c r="I92" i="3"/>
  <c r="AJ91" i="3"/>
  <c r="AG91" i="3"/>
  <c r="AD91" i="3"/>
  <c r="AA91" i="3"/>
  <c r="X91" i="3"/>
  <c r="U91" i="3"/>
  <c r="R91" i="3"/>
  <c r="O91" i="3"/>
  <c r="L91" i="3"/>
  <c r="I91" i="3"/>
  <c r="AJ90" i="3"/>
  <c r="AG90" i="3"/>
  <c r="AD90" i="3"/>
  <c r="AA90" i="3"/>
  <c r="X90" i="3"/>
  <c r="U90" i="3"/>
  <c r="R90" i="3"/>
  <c r="O90" i="3"/>
  <c r="L90" i="3"/>
  <c r="I90" i="3"/>
  <c r="AJ89" i="3"/>
  <c r="AG89" i="3"/>
  <c r="AD89" i="3"/>
  <c r="AA89" i="3"/>
  <c r="X89" i="3"/>
  <c r="U89" i="3"/>
  <c r="R89" i="3"/>
  <c r="O89" i="3"/>
  <c r="L89" i="3"/>
  <c r="I89" i="3"/>
  <c r="AJ88" i="3"/>
  <c r="AG88" i="3"/>
  <c r="AD88" i="3"/>
  <c r="AA88" i="3"/>
  <c r="X88" i="3"/>
  <c r="U88" i="3"/>
  <c r="R88" i="3"/>
  <c r="O88" i="3"/>
  <c r="L88" i="3"/>
  <c r="I88" i="3"/>
  <c r="AJ87" i="3"/>
  <c r="AG87" i="3"/>
  <c r="AD87" i="3"/>
  <c r="AA87" i="3"/>
  <c r="X87" i="3"/>
  <c r="U87" i="3"/>
  <c r="R87" i="3"/>
  <c r="O87" i="3"/>
  <c r="L87" i="3"/>
  <c r="I87" i="3"/>
  <c r="AJ86" i="3"/>
  <c r="AG86" i="3"/>
  <c r="AD86" i="3"/>
  <c r="AA86" i="3"/>
  <c r="X86" i="3"/>
  <c r="U86" i="3"/>
  <c r="R86" i="3"/>
  <c r="O86" i="3"/>
  <c r="L86" i="3"/>
  <c r="I86" i="3"/>
  <c r="AJ85" i="3"/>
  <c r="AG85" i="3"/>
  <c r="AD85" i="3"/>
  <c r="AA85" i="3"/>
  <c r="X85" i="3"/>
  <c r="U85" i="3"/>
  <c r="R85" i="3"/>
  <c r="O85" i="3"/>
  <c r="L85" i="3"/>
  <c r="I85" i="3"/>
  <c r="AJ84" i="3"/>
  <c r="AG84" i="3"/>
  <c r="AD84" i="3"/>
  <c r="AA84" i="3"/>
  <c r="X84" i="3"/>
  <c r="U84" i="3"/>
  <c r="R84" i="3"/>
  <c r="O84" i="3"/>
  <c r="L84" i="3"/>
  <c r="I84" i="3"/>
  <c r="AJ83" i="3"/>
  <c r="AG83" i="3"/>
  <c r="AD83" i="3"/>
  <c r="AA83" i="3"/>
  <c r="X83" i="3"/>
  <c r="U83" i="3"/>
  <c r="R83" i="3"/>
  <c r="O83" i="3"/>
  <c r="L83" i="3"/>
  <c r="I83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AJ82" i="3"/>
  <c r="AG82" i="3"/>
  <c r="AD82" i="3"/>
  <c r="AA82" i="3"/>
  <c r="X82" i="3"/>
  <c r="U82" i="3"/>
  <c r="R82" i="3"/>
  <c r="O82" i="3"/>
  <c r="L82" i="3"/>
  <c r="I82" i="3"/>
  <c r="F82" i="3"/>
  <c r="AJ81" i="3"/>
  <c r="AG81" i="3"/>
  <c r="AD81" i="3"/>
  <c r="AA81" i="3"/>
  <c r="X81" i="3"/>
  <c r="U81" i="3"/>
  <c r="R81" i="3"/>
  <c r="O81" i="3"/>
  <c r="L81" i="3"/>
  <c r="I81" i="3"/>
  <c r="F81" i="3"/>
  <c r="AJ80" i="3"/>
  <c r="AG80" i="3"/>
  <c r="AD80" i="3"/>
  <c r="AA80" i="3"/>
  <c r="X80" i="3"/>
  <c r="U80" i="3"/>
  <c r="R80" i="3"/>
  <c r="O80" i="3"/>
  <c r="L80" i="3"/>
  <c r="I80" i="3"/>
  <c r="AJ79" i="3"/>
  <c r="AG79" i="3"/>
  <c r="AD79" i="3"/>
  <c r="AA79" i="3"/>
  <c r="X79" i="3"/>
  <c r="U79" i="3"/>
  <c r="R79" i="3"/>
  <c r="O79" i="3"/>
  <c r="L79" i="3"/>
  <c r="I79" i="3"/>
  <c r="AJ78" i="3"/>
  <c r="AG78" i="3"/>
  <c r="AD78" i="3"/>
  <c r="AA78" i="3"/>
  <c r="X78" i="3"/>
  <c r="U78" i="3"/>
  <c r="R78" i="3"/>
  <c r="O78" i="3"/>
  <c r="L78" i="3"/>
  <c r="I78" i="3"/>
  <c r="F80" i="3"/>
  <c r="F79" i="3"/>
  <c r="F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AJ75" i="3"/>
  <c r="AG75" i="3"/>
  <c r="AD75" i="3"/>
  <c r="AA75" i="3"/>
  <c r="X75" i="3"/>
  <c r="U75" i="3"/>
  <c r="R75" i="3"/>
  <c r="O75" i="3"/>
  <c r="L75" i="3"/>
  <c r="I75" i="3"/>
  <c r="AJ74" i="3"/>
  <c r="AG74" i="3"/>
  <c r="AD74" i="3"/>
  <c r="AA74" i="3"/>
  <c r="X74" i="3"/>
  <c r="U74" i="3"/>
  <c r="R74" i="3"/>
  <c r="O74" i="3"/>
  <c r="L74" i="3"/>
  <c r="I74" i="3"/>
  <c r="F77" i="3"/>
  <c r="F76" i="3"/>
  <c r="F75" i="3"/>
  <c r="F74" i="3"/>
  <c r="AJ73" i="3"/>
  <c r="AJ72" i="3"/>
  <c r="AJ71" i="3"/>
  <c r="AJ70" i="3"/>
  <c r="AJ69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3" i="3"/>
  <c r="AD73" i="3"/>
  <c r="AA73" i="3"/>
  <c r="X73" i="3"/>
  <c r="U73" i="3"/>
  <c r="R73" i="3"/>
  <c r="O73" i="3"/>
  <c r="L73" i="3"/>
  <c r="I73" i="3"/>
  <c r="F73" i="3"/>
  <c r="AG72" i="3"/>
  <c r="AD72" i="3"/>
  <c r="AA72" i="3"/>
  <c r="X72" i="3"/>
  <c r="U72" i="3"/>
  <c r="R72" i="3"/>
  <c r="O72" i="3"/>
  <c r="L72" i="3"/>
  <c r="I72" i="3"/>
  <c r="AG71" i="3"/>
  <c r="AD71" i="3"/>
  <c r="AA71" i="3"/>
  <c r="X71" i="3"/>
  <c r="U71" i="3"/>
  <c r="R71" i="3"/>
  <c r="O71" i="3"/>
  <c r="L71" i="3"/>
  <c r="I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AG68" i="3"/>
  <c r="AD68" i="3"/>
  <c r="AA68" i="3"/>
  <c r="X68" i="3"/>
  <c r="U68" i="3"/>
  <c r="R68" i="3"/>
  <c r="O68" i="3"/>
  <c r="L68" i="3"/>
  <c r="I68" i="3"/>
  <c r="F72" i="3"/>
  <c r="F71" i="3"/>
  <c r="F70" i="3"/>
  <c r="F69" i="3"/>
  <c r="F68" i="3"/>
  <c r="AG67" i="3"/>
  <c r="AG66" i="3"/>
  <c r="AG65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3" i="3"/>
  <c r="P16" i="6" l="1"/>
  <c r="P17" i="6"/>
  <c r="P18" i="6"/>
  <c r="P19" i="6"/>
  <c r="P20" i="6"/>
  <c r="P21" i="6"/>
  <c r="P22" i="6"/>
  <c r="P15" i="6"/>
  <c r="O13" i="6"/>
  <c r="O15" i="6"/>
  <c r="O16" i="6"/>
  <c r="O17" i="6"/>
  <c r="O18" i="6"/>
  <c r="O19" i="6"/>
  <c r="O20" i="6"/>
  <c r="O21" i="6"/>
  <c r="O12" i="6"/>
  <c r="E6" i="6"/>
  <c r="C8" i="6"/>
  <c r="B8" i="6"/>
  <c r="F7" i="6" l="1"/>
  <c r="F6" i="6"/>
  <c r="F3" i="6"/>
  <c r="G4" i="6" s="1"/>
  <c r="G7" i="6" l="1"/>
  <c r="F8" i="6"/>
  <c r="G5" i="6"/>
</calcChain>
</file>

<file path=xl/sharedStrings.xml><?xml version="1.0" encoding="utf-8"?>
<sst xmlns="http://schemas.openxmlformats.org/spreadsheetml/2006/main" count="801" uniqueCount="378">
  <si>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</si>
  <si>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</si>
  <si>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</si>
  <si>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</si>
  <si>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</si>
  <si>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</si>
  <si>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</si>
  <si>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</si>
  <si>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</si>
  <si>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</si>
  <si>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</si>
  <si>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</si>
  <si>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</si>
  <si>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</si>
  <si>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</si>
  <si>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</si>
  <si>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</si>
  <si>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</si>
  <si>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</si>
  <si>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</si>
  <si>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</si>
  <si>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</si>
  <si>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</si>
  <si>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</si>
  <si>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</si>
  <si>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</si>
  <si>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</si>
  <si>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</si>
  <si>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</si>
  <si>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</si>
  <si>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</si>
  <si>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</si>
  <si>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</si>
  <si>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</si>
  <si>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</si>
  <si>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</si>
  <si>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</si>
  <si>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</si>
  <si>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</si>
  <si>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</si>
  <si>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</si>
  <si>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</si>
  <si>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</si>
  <si>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</si>
  <si>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</si>
  <si>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</si>
  <si>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</si>
  <si>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</si>
  <si>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</si>
  <si>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</si>
  <si>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</si>
  <si>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</si>
  <si>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</si>
  <si>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</si>
  <si>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</si>
  <si>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</si>
  <si>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</si>
  <si>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</si>
  <si>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</si>
  <si>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</si>
  <si>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</si>
  <si>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</si>
  <si>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</si>
  <si>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</si>
  <si>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</si>
  <si>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</si>
  <si>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</si>
  <si>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</si>
  <si>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</si>
  <si>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</si>
  <si>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</si>
  <si>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</si>
  <si>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</si>
  <si>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</si>
  <si>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</si>
  <si>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</si>
  <si>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</si>
  <si>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</si>
  <si>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</si>
  <si>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</si>
  <si>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</si>
  <si>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</si>
  <si>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</si>
  <si>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</si>
  <si>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</si>
  <si>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</si>
  <si>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</si>
  <si>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</si>
  <si>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</si>
  <si>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</si>
  <si>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</si>
  <si>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</si>
  <si>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</si>
  <si>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</si>
  <si>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</si>
  <si>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</si>
  <si>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</si>
  <si>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</si>
  <si>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</si>
  <si>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</si>
  <si>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</si>
  <si>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</si>
  <si>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</si>
  <si>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</si>
  <si>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</si>
  <si>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</si>
  <si>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</si>
  <si>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</si>
  <si>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</si>
  <si>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</si>
  <si>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</si>
  <si>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</si>
  <si>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</si>
  <si>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</si>
  <si>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</si>
  <si>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</si>
  <si>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</si>
  <si>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</si>
  <si>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</si>
  <si>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</si>
  <si>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</si>
  <si>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</si>
  <si>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</si>
  <si>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</si>
  <si>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</si>
  <si>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</si>
  <si>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</si>
  <si>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</si>
  <si>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</si>
  <si>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</si>
  <si>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</si>
  <si>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</si>
  <si>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</si>
  <si>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</si>
  <si>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</si>
  <si>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</si>
  <si>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</si>
  <si>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</si>
  <si>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</si>
  <si>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</si>
  <si>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</si>
  <si>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</si>
  <si>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</si>
  <si>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</si>
  <si>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</si>
  <si>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</si>
  <si>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</si>
  <si>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</si>
  <si>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</si>
  <si>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</si>
  <si>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</si>
  <si>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</si>
  <si>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</si>
  <si>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</si>
  <si>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</si>
  <si>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</si>
  <si>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</si>
  <si>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</si>
  <si>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</si>
  <si>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</si>
  <si>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</si>
  <si>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</si>
  <si>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</si>
  <si>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</si>
  <si>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</si>
  <si>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</si>
  <si>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</si>
  <si>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</si>
  <si>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</si>
  <si>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</si>
  <si>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</si>
  <si>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</si>
  <si>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</si>
  <si>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</si>
  <si>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</si>
  <si>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</si>
  <si>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</si>
  <si>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</si>
  <si>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</si>
  <si>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</si>
  <si>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</si>
  <si>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</si>
  <si>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</si>
  <si>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</si>
  <si>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</si>
  <si>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</si>
  <si>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</si>
  <si>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</si>
  <si>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</si>
  <si>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</si>
  <si>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</si>
  <si>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</si>
  <si>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</si>
  <si>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</si>
  <si>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</si>
  <si>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</si>
  <si>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</si>
  <si>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</si>
  <si>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</si>
  <si>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</si>
  <si>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</si>
  <si>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</si>
  <si>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</si>
  <si>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</si>
  <si>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</si>
  <si>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</si>
  <si>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</si>
  <si>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</si>
  <si>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</si>
  <si>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</si>
  <si>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</si>
  <si>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</si>
  <si>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</si>
  <si>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</si>
  <si>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</si>
  <si>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</si>
  <si>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</si>
  <si>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</si>
  <si>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</si>
  <si>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</si>
  <si>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</si>
  <si>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</si>
  <si>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</si>
  <si>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</si>
  <si>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</si>
  <si>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</si>
  <si>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</si>
  <si>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</si>
  <si>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</si>
  <si>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</si>
  <si>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</si>
  <si>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</si>
  <si>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</si>
  <si>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</si>
  <si>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</si>
  <si>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</si>
  <si>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</si>
  <si>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</si>
  <si>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</si>
  <si>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</si>
  <si>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</si>
  <si>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</si>
  <si>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</si>
  <si>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</si>
  <si>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</si>
  <si>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</si>
  <si>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</si>
  <si>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</si>
  <si>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</si>
  <si>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</si>
  <si>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</si>
  <si>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</si>
  <si>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</si>
  <si>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</si>
  <si>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</si>
  <si>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</si>
  <si>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</si>
  <si>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</si>
  <si>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</si>
  <si>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</si>
  <si>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</si>
  <si>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</si>
  <si>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</si>
  <si>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</si>
  <si>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</si>
  <si>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</si>
  <si>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lucassilveira</t>
  </si>
  <si>
    <t>Lucas Silveira</t>
  </si>
  <si>
    <t>633ba0d16cdc69b05c9a39ca</t>
  </si>
  <si>
    <t>623361b4af38cf00d34c5f99</t>
  </si>
  <si>
    <t>644404bc017581d4e55290a5</t>
  </si>
  <si>
    <t>61faf93591344300114685f6</t>
  </si>
  <si>
    <t>Caio Braga</t>
  </si>
  <si>
    <t>BragaWS</t>
  </si>
  <si>
    <t>reginho</t>
  </si>
  <si>
    <t>Reginaldo Filho</t>
  </si>
  <si>
    <t>Cli01</t>
  </si>
  <si>
    <t>Cláudio</t>
  </si>
  <si>
    <t>6193dcfb7a83fa0019fd0aff</t>
  </si>
  <si>
    <t>621d03954a77eb001128ee37</t>
  </si>
  <si>
    <t>661874f221aa7b59c9d12095</t>
  </si>
  <si>
    <t>ksjerbip</t>
  </si>
  <si>
    <t>Ale Motta</t>
  </si>
  <si>
    <t>611ec671016d2b001298b259</t>
  </si>
  <si>
    <t>Roger Prof</t>
  </si>
  <si>
    <t>l0bewp0v</t>
  </si>
  <si>
    <t>62211e4eefc511003909e5b0</t>
  </si>
  <si>
    <t>Rei Gelas</t>
  </si>
  <si>
    <t>lvxgn26h</t>
  </si>
  <si>
    <t>Vinicius</t>
  </si>
  <si>
    <t>Lyordan</t>
  </si>
  <si>
    <t>LyordanUmbrid</t>
  </si>
  <si>
    <t>Locke Skt</t>
  </si>
  <si>
    <t>lockeskt</t>
  </si>
  <si>
    <t>Jorge André</t>
  </si>
  <si>
    <t>kq161v2a</t>
  </si>
  <si>
    <t>Alef</t>
  </si>
  <si>
    <t>m3rzwilq</t>
  </si>
  <si>
    <t>Elias Frota</t>
  </si>
  <si>
    <t>tigas</t>
  </si>
  <si>
    <t>Thiago Tigas</t>
  </si>
  <si>
    <t>CryKing</t>
  </si>
  <si>
    <t>Felipe Souza</t>
  </si>
  <si>
    <t>Sarrela</t>
  </si>
  <si>
    <t>ks2etc47</t>
  </si>
  <si>
    <t>Lucas Mattar</t>
  </si>
  <si>
    <t>kykqd5de</t>
  </si>
  <si>
    <t>Cristian</t>
  </si>
  <si>
    <t>Cristian300</t>
  </si>
  <si>
    <t>Rafael Zagui</t>
  </si>
  <si>
    <t>ky4om2vt</t>
  </si>
  <si>
    <t>Arllen Vaz</t>
  </si>
  <si>
    <t>nellra</t>
  </si>
  <si>
    <t>Blood</t>
  </si>
  <si>
    <t>blood</t>
  </si>
  <si>
    <t>Maurício Tosi</t>
  </si>
  <si>
    <t>ks4xom9k</t>
  </si>
  <si>
    <t>Lazaro</t>
  </si>
  <si>
    <t>BuzatoO</t>
  </si>
  <si>
    <t>663b20b81eff3bdc73565216</t>
  </si>
  <si>
    <t>611607ca9cbb1f0011b71dba</t>
  </si>
  <si>
    <t>62f2ff28f259e085b45d20a8</t>
  </si>
  <si>
    <t>60cb83ad90fa5100120be275</t>
  </si>
  <si>
    <t>673fce5f0dd1f3b715bd49d9</t>
  </si>
  <si>
    <t>61fb3ed7598b600039670329</t>
  </si>
  <si>
    <t>65f8c05ebf7d83ce1780feff</t>
  </si>
  <si>
    <t>610f177b9edc230018110637</t>
  </si>
  <si>
    <t>61e749202c50f20028559708</t>
  </si>
  <si>
    <t>5e6e58c1184c95001f56f9aa</t>
  </si>
  <si>
    <t>61d87a7f9b088c00278b2cc8</t>
  </si>
  <si>
    <t>66be62cd44cecdd79b509d97</t>
  </si>
  <si>
    <t>661defdde1d8983c868bcce1</t>
  </si>
  <si>
    <t>61116babf698e4003313bda8</t>
  </si>
  <si>
    <t>662d66b8a56433252804ec7d</t>
  </si>
  <si>
    <t>Frota</t>
  </si>
  <si>
    <t>667571375483ead3e3b297e0</t>
  </si>
  <si>
    <t>mrluckibr</t>
  </si>
  <si>
    <t>Mr. Lucki</t>
  </si>
  <si>
    <t>Murilo</t>
  </si>
  <si>
    <t>NightN</t>
  </si>
  <si>
    <t>Eremilton</t>
  </si>
  <si>
    <t>lvu9du5m</t>
  </si>
  <si>
    <t>Guima Coin</t>
  </si>
  <si>
    <t>m4c5vdgg</t>
  </si>
  <si>
    <t>Rodolfo</t>
  </si>
  <si>
    <t>Rodolfo da Silva</t>
  </si>
  <si>
    <t>Gabi</t>
  </si>
  <si>
    <t>bibiperigosa</t>
  </si>
  <si>
    <t>Paulo Mohamed</t>
  </si>
  <si>
    <t>gengiscoin</t>
  </si>
  <si>
    <t>CryptoBR</t>
  </si>
  <si>
    <t>Francisco Deadpool</t>
  </si>
  <si>
    <t>Gui Sulivan</t>
  </si>
  <si>
    <t>l38998pk</t>
  </si>
  <si>
    <t>João Albuquerque</t>
  </si>
  <si>
    <t>Yoogah</t>
  </si>
  <si>
    <t>Leandro Yoogah</t>
  </si>
  <si>
    <t>Roberto Carlos</t>
  </si>
  <si>
    <t>ktdmv5kb</t>
  </si>
  <si>
    <t>608b7f4784a91e001bc367af</t>
  </si>
  <si>
    <t>66bae06cfe8f76fda8967407</t>
  </si>
  <si>
    <t>66382c85b4f669b9d3b8a0af</t>
  </si>
  <si>
    <t>67526973a35a6acbf7b4b6fb</t>
  </si>
  <si>
    <t>64844eb655e439cb28da7326</t>
  </si>
  <si>
    <t>61dcec91e2deeb00119d7851</t>
  </si>
  <si>
    <t>6051e5851bfe160027e0963e</t>
  </si>
  <si>
    <t>62035fbc46bbc30069d7468d</t>
  </si>
  <si>
    <t>6281d9ceeaf817564faee069</t>
  </si>
  <si>
    <t>65d100e32e3470bcb3a731a0</t>
  </si>
  <si>
    <t>613aa983f1c4ff0034617c57</t>
  </si>
  <si>
    <t>guisulivan</t>
  </si>
  <si>
    <t>6226bc8b2b99670065936a50</t>
  </si>
  <si>
    <t>lytp3wao</t>
  </si>
  <si>
    <t>Vitor Bolado</t>
  </si>
  <si>
    <t>kabal</t>
  </si>
  <si>
    <t>Rodolfo Kabal</t>
  </si>
  <si>
    <t>669b4ca89767172a36aa7731</t>
  </si>
  <si>
    <t>6754ba7fd7bae738a02fa714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</si>
</sst>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theme="2" tint="-9.9978637043366805E-2"/>
      <name val="Aptos Narrow"/>
      <family val="2"/>
      <scheme val="minor"/>
    </font>
    <font>
      <b/>
      <sz val="20"/>
      <color theme="2" tint="-9.9978637043366805E-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8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9" fontId="0" fillId="0" borderId="0" xfId="2" applyFont="1"/>
    <xf numFmtId="9" fontId="0" fillId="0" borderId="0" xfId="0" applyNumberFormat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9" fontId="5" fillId="2" borderId="10" xfId="2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9" fontId="5" fillId="2" borderId="11" xfId="2" applyFont="1" applyFill="1" applyBorder="1"/>
    <xf numFmtId="9" fontId="5" fillId="2" borderId="0" xfId="2" applyFont="1" applyFill="1"/>
    <xf numFmtId="0" fontId="5" fillId="3" borderId="0" xfId="0" applyFont="1" applyFill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10" fontId="5" fillId="3" borderId="0" xfId="2" applyNumberFormat="1" applyFont="1" applyFill="1" applyBorder="1"/>
    <xf numFmtId="16" fontId="5" fillId="2" borderId="6" xfId="0" applyNumberFormat="1" applyFont="1" applyFill="1" applyBorder="1"/>
    <xf numFmtId="165" fontId="5" fillId="2" borderId="7" xfId="1" applyNumberFormat="1" applyFont="1" applyFill="1" applyBorder="1"/>
    <xf numFmtId="10" fontId="5" fillId="2" borderId="7" xfId="2" applyNumberFormat="1" applyFont="1" applyFill="1" applyBorder="1"/>
    <xf numFmtId="9" fontId="5" fillId="2" borderId="8" xfId="2" applyFont="1" applyFill="1" applyBorder="1"/>
    <xf numFmtId="16" fontId="5" fillId="2" borderId="0" xfId="0" applyNumberFormat="1" applyFont="1" applyFill="1" applyAlignment="1">
      <alignment horizontal="center"/>
    </xf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4" fontId="5" fillId="2" borderId="0" xfId="0" applyNumberFormat="1" applyFont="1" applyFill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9" fontId="5" fillId="2" borderId="5" xfId="0" applyNumberFormat="1" applyFont="1" applyFill="1" applyBorder="1"/>
    <xf numFmtId="9" fontId="5" fillId="2" borderId="5" xfId="2" applyFont="1" applyFill="1" applyBorder="1"/>
    <xf numFmtId="0" fontId="6" fillId="2" borderId="0" xfId="0" applyFont="1" applyFill="1" applyAlignment="1">
      <alignment vertical="center"/>
    </xf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111"/>
  <sheetViews>
    <sheetView tabSelected="1" topLeftCell="A82" zoomScaleNormal="100" workbookViewId="0">
      <selection activeCell="D100" sqref="D100"/>
    </sheetView>
  </sheetViews>
  <sheetFormatPr defaultRowHeight="1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t="s">
        <v>359</v>
      </c>
      <c r="B2" t="s">
        <v>337</v>
      </c>
      <c r="C2">
        <v>42196961374.695099</v>
      </c>
      <c r="D2">
        <v>1</v>
      </c>
      <c r="E2" t="s">
        <v>336</v>
      </c>
    </row>
    <row r="3" spans="1:5">
      <c r="A3" s="2" t="s">
        <v>46</v>
      </c>
      <c r="B3" t="s">
        <v>45</v>
      </c>
      <c r="C3" s="2">
        <v>24312770455.995201</v>
      </c>
      <c r="D3">
        <v>2</v>
      </c>
      <c r="E3" t="s">
        <v>67</v>
      </c>
    </row>
    <row r="4" spans="1:5">
      <c r="A4" s="2" t="s">
        <v>24</v>
      </c>
      <c r="B4" t="s">
        <v>20</v>
      </c>
      <c r="C4" s="2">
        <v>19910368676.368198</v>
      </c>
      <c r="D4">
        <v>3</v>
      </c>
      <c r="E4" t="s">
        <v>65</v>
      </c>
    </row>
    <row r="5" spans="1:5">
      <c r="A5" s="2" t="s">
        <v>31</v>
      </c>
      <c r="B5" t="s">
        <v>32</v>
      </c>
      <c r="C5" s="2">
        <v>19781030777.6856</v>
      </c>
      <c r="D5">
        <v>4</v>
      </c>
      <c r="E5" t="s">
        <v>66</v>
      </c>
    </row>
    <row r="6" spans="1:5">
      <c r="A6" t="s">
        <v>365</v>
      </c>
      <c r="B6" t="s">
        <v>348</v>
      </c>
      <c r="C6">
        <v>19587172787.799198</v>
      </c>
      <c r="D6">
        <v>5</v>
      </c>
      <c r="E6" t="s">
        <v>349</v>
      </c>
    </row>
    <row r="7" spans="1:5">
      <c r="A7" s="2" t="s">
        <v>175</v>
      </c>
      <c r="B7" t="s">
        <v>173</v>
      </c>
      <c r="C7">
        <v>17597132941.417</v>
      </c>
      <c r="D7">
        <v>6</v>
      </c>
      <c r="E7" t="s">
        <v>174</v>
      </c>
    </row>
    <row r="8" spans="1:5">
      <c r="A8" s="2" t="s">
        <v>95</v>
      </c>
      <c r="B8" t="s">
        <v>94</v>
      </c>
      <c r="C8" s="2">
        <v>16786451449.360001</v>
      </c>
      <c r="D8">
        <v>7</v>
      </c>
      <c r="E8" t="s">
        <v>137</v>
      </c>
    </row>
    <row r="9" spans="1:5">
      <c r="A9" t="s">
        <v>255</v>
      </c>
      <c r="B9" t="s">
        <v>254</v>
      </c>
      <c r="C9">
        <v>15065332253.881601</v>
      </c>
      <c r="D9">
        <v>8</v>
      </c>
      <c r="E9" t="s">
        <v>253</v>
      </c>
    </row>
    <row r="10" spans="1:5">
      <c r="A10" s="1" t="s">
        <v>5</v>
      </c>
      <c r="B10" t="s">
        <v>3</v>
      </c>
      <c r="C10" s="2">
        <v>14161570914.6856</v>
      </c>
      <c r="D10">
        <v>9</v>
      </c>
      <c r="E10" t="s">
        <v>3</v>
      </c>
    </row>
    <row r="11" spans="1:5">
      <c r="A11" s="1" t="s">
        <v>1</v>
      </c>
      <c r="B11" t="s">
        <v>0</v>
      </c>
      <c r="C11" s="2">
        <v>12889998735.301601</v>
      </c>
      <c r="D11">
        <v>10</v>
      </c>
      <c r="E11" t="s">
        <v>0</v>
      </c>
    </row>
    <row r="12" spans="1:5">
      <c r="A12" t="s">
        <v>283</v>
      </c>
      <c r="B12" t="s">
        <v>282</v>
      </c>
      <c r="C12">
        <v>11716731052.730398</v>
      </c>
      <c r="D12">
        <v>11</v>
      </c>
      <c r="E12" t="s">
        <v>281</v>
      </c>
    </row>
    <row r="13" spans="1:5">
      <c r="A13" s="2" t="s">
        <v>48</v>
      </c>
      <c r="B13" s="2" t="s">
        <v>47</v>
      </c>
      <c r="C13" s="2">
        <v>9727470381.2750015</v>
      </c>
      <c r="D13">
        <v>12</v>
      </c>
      <c r="E13" t="s">
        <v>68</v>
      </c>
    </row>
    <row r="14" spans="1:5">
      <c r="A14" t="s">
        <v>325</v>
      </c>
      <c r="B14" t="s">
        <v>302</v>
      </c>
      <c r="C14">
        <v>9551880316.5599003</v>
      </c>
      <c r="D14">
        <v>13</v>
      </c>
      <c r="E14" t="s">
        <v>301</v>
      </c>
    </row>
    <row r="15" spans="1:5">
      <c r="A15" t="s">
        <v>122</v>
      </c>
      <c r="B15" t="s">
        <v>123</v>
      </c>
      <c r="C15">
        <v>9540454459.9827995</v>
      </c>
      <c r="D15">
        <v>14</v>
      </c>
      <c r="E15" t="s">
        <v>169</v>
      </c>
    </row>
    <row r="16" spans="1:5">
      <c r="A16" s="2" t="s">
        <v>50</v>
      </c>
      <c r="B16" t="s">
        <v>49</v>
      </c>
      <c r="C16" s="2">
        <v>9065063331.1006012</v>
      </c>
      <c r="D16">
        <v>15</v>
      </c>
      <c r="E16" t="s">
        <v>71</v>
      </c>
    </row>
    <row r="17" spans="1:5">
      <c r="A17" t="s">
        <v>211</v>
      </c>
      <c r="B17" t="s">
        <v>210</v>
      </c>
      <c r="C17">
        <v>8691340617.3384991</v>
      </c>
      <c r="D17">
        <v>16</v>
      </c>
      <c r="E17" t="s">
        <v>209</v>
      </c>
    </row>
    <row r="18" spans="1:5">
      <c r="A18" s="2" t="s">
        <v>44</v>
      </c>
      <c r="B18" t="s">
        <v>43</v>
      </c>
      <c r="C18" s="2">
        <v>8021576332.1170998</v>
      </c>
      <c r="D18">
        <v>17</v>
      </c>
      <c r="E18" t="s">
        <v>43</v>
      </c>
    </row>
    <row r="19" spans="1:5">
      <c r="A19" t="s">
        <v>280</v>
      </c>
      <c r="B19" t="s">
        <v>277</v>
      </c>
      <c r="C19">
        <v>7426157030.6254997</v>
      </c>
      <c r="D19">
        <v>18</v>
      </c>
      <c r="E19" t="s">
        <v>276</v>
      </c>
    </row>
    <row r="20" spans="1:5">
      <c r="A20" s="2" t="s">
        <v>229</v>
      </c>
      <c r="B20" t="s">
        <v>218</v>
      </c>
      <c r="C20" s="2">
        <v>6951635182.8207998</v>
      </c>
      <c r="D20">
        <v>19</v>
      </c>
      <c r="E20" t="s">
        <v>217</v>
      </c>
    </row>
    <row r="21" spans="1:5">
      <c r="A21" t="s">
        <v>154</v>
      </c>
      <c r="B21" t="s">
        <v>155</v>
      </c>
      <c r="C21">
        <v>6935276073.3154001</v>
      </c>
      <c r="D21">
        <v>20</v>
      </c>
      <c r="E21" t="s">
        <v>156</v>
      </c>
    </row>
    <row r="22" spans="1:5">
      <c r="A22" t="s">
        <v>364</v>
      </c>
      <c r="B22" t="s">
        <v>346</v>
      </c>
      <c r="C22">
        <v>6896611305.5012999</v>
      </c>
      <c r="D22">
        <v>21</v>
      </c>
      <c r="E22" t="s">
        <v>347</v>
      </c>
    </row>
    <row r="23" spans="1:5">
      <c r="A23" s="3" t="s">
        <v>228</v>
      </c>
      <c r="B23" t="s">
        <v>222</v>
      </c>
      <c r="C23" s="2">
        <v>6672965149.2606001</v>
      </c>
      <c r="D23">
        <v>22</v>
      </c>
      <c r="E23" t="s">
        <v>221</v>
      </c>
    </row>
    <row r="24" spans="1:5">
      <c r="A24" t="s">
        <v>131</v>
      </c>
      <c r="B24" t="s">
        <v>132</v>
      </c>
      <c r="C24">
        <v>6568792852.3663998</v>
      </c>
      <c r="D24">
        <v>23</v>
      </c>
      <c r="E24" t="s">
        <v>133</v>
      </c>
    </row>
    <row r="25" spans="1:5">
      <c r="A25" s="2" t="s">
        <v>52</v>
      </c>
      <c r="B25" s="2" t="s">
        <v>51</v>
      </c>
      <c r="C25" s="2">
        <v>6415843567.4538002</v>
      </c>
      <c r="D25">
        <v>24</v>
      </c>
      <c r="E25" t="s">
        <v>256</v>
      </c>
    </row>
    <row r="26" spans="1:5">
      <c r="A26" t="s">
        <v>197</v>
      </c>
      <c r="B26" t="s">
        <v>287</v>
      </c>
      <c r="C26">
        <v>6400458562.0184002</v>
      </c>
      <c r="D26">
        <v>25</v>
      </c>
      <c r="E26" t="s">
        <v>240</v>
      </c>
    </row>
    <row r="27" spans="1:5">
      <c r="A27" t="s">
        <v>366</v>
      </c>
      <c r="B27" t="s">
        <v>351</v>
      </c>
      <c r="C27">
        <v>6126113123.7950001</v>
      </c>
      <c r="D27">
        <v>26</v>
      </c>
      <c r="E27" t="s">
        <v>350</v>
      </c>
    </row>
    <row r="28" spans="1:5">
      <c r="A28" t="s">
        <v>242</v>
      </c>
      <c r="B28" t="s">
        <v>243</v>
      </c>
      <c r="C28">
        <v>6081984284.9039001</v>
      </c>
      <c r="D28">
        <v>27</v>
      </c>
      <c r="E28" t="s">
        <v>241</v>
      </c>
    </row>
    <row r="29" spans="1:5">
      <c r="A29" t="s">
        <v>332</v>
      </c>
      <c r="B29" t="s">
        <v>315</v>
      </c>
      <c r="C29">
        <v>5933255982.7849998</v>
      </c>
      <c r="D29">
        <v>28</v>
      </c>
      <c r="E29" t="s">
        <v>316</v>
      </c>
    </row>
    <row r="30" spans="1:5">
      <c r="A30" t="s">
        <v>236</v>
      </c>
      <c r="B30" t="s">
        <v>226</v>
      </c>
      <c r="C30">
        <v>5783061408.5037994</v>
      </c>
      <c r="D30">
        <v>29</v>
      </c>
      <c r="E30" t="s">
        <v>225</v>
      </c>
    </row>
    <row r="31" spans="1:5">
      <c r="A31" t="s">
        <v>107</v>
      </c>
      <c r="B31" t="s">
        <v>108</v>
      </c>
      <c r="C31">
        <v>5457274176.9919996</v>
      </c>
      <c r="D31">
        <v>30</v>
      </c>
      <c r="E31" t="s">
        <v>109</v>
      </c>
    </row>
    <row r="32" spans="1:5">
      <c r="A32" s="3" t="s">
        <v>90</v>
      </c>
      <c r="B32" t="s">
        <v>88</v>
      </c>
      <c r="C32" s="2">
        <v>5456060530.7090006</v>
      </c>
      <c r="D32">
        <v>31</v>
      </c>
      <c r="E32" t="s">
        <v>89</v>
      </c>
    </row>
    <row r="33" spans="1:5">
      <c r="A33" t="s">
        <v>141</v>
      </c>
      <c r="B33" t="s">
        <v>142</v>
      </c>
      <c r="C33">
        <v>5438505213.3500004</v>
      </c>
      <c r="D33">
        <v>32</v>
      </c>
      <c r="E33" t="s">
        <v>143</v>
      </c>
    </row>
    <row r="34" spans="1:5">
      <c r="A34" t="s">
        <v>6</v>
      </c>
      <c r="B34" t="s">
        <v>4</v>
      </c>
      <c r="C34" s="2">
        <v>5340578054.8513002</v>
      </c>
      <c r="D34">
        <v>33</v>
      </c>
      <c r="E34" t="s">
        <v>4</v>
      </c>
    </row>
    <row r="35" spans="1:5">
      <c r="A35" t="s">
        <v>331</v>
      </c>
      <c r="B35" t="s">
        <v>313</v>
      </c>
      <c r="C35">
        <v>5172371644.3088007</v>
      </c>
      <c r="D35">
        <v>34</v>
      </c>
      <c r="E35" t="s">
        <v>314</v>
      </c>
    </row>
    <row r="36" spans="1:5">
      <c r="A36" t="s">
        <v>113</v>
      </c>
      <c r="B36" t="s">
        <v>114</v>
      </c>
      <c r="C36">
        <v>5112355057.4216003</v>
      </c>
      <c r="D36">
        <v>35</v>
      </c>
      <c r="E36" t="s">
        <v>115</v>
      </c>
    </row>
    <row r="37" spans="1:5">
      <c r="A37" t="s">
        <v>138</v>
      </c>
      <c r="B37" t="s">
        <v>139</v>
      </c>
      <c r="C37">
        <v>4917970521.5629997</v>
      </c>
      <c r="D37">
        <v>36</v>
      </c>
      <c r="E37" t="s">
        <v>140</v>
      </c>
    </row>
    <row r="38" spans="1:5">
      <c r="A38" s="1" t="s">
        <v>171</v>
      </c>
      <c r="B38" t="s">
        <v>172</v>
      </c>
      <c r="C38">
        <v>4787301904.9056005</v>
      </c>
      <c r="D38">
        <v>37</v>
      </c>
      <c r="E38" t="s">
        <v>170</v>
      </c>
    </row>
    <row r="39" spans="1:5">
      <c r="A39" s="2" t="s">
        <v>23</v>
      </c>
      <c r="B39" t="s">
        <v>18</v>
      </c>
      <c r="C39" s="2">
        <v>4756409322.7215996</v>
      </c>
      <c r="D39">
        <v>38</v>
      </c>
      <c r="E39" t="s">
        <v>78</v>
      </c>
    </row>
    <row r="40" spans="1:5">
      <c r="A40" s="2" t="s">
        <v>29</v>
      </c>
      <c r="B40" t="s">
        <v>27</v>
      </c>
      <c r="C40" s="2">
        <v>4569243971.8299999</v>
      </c>
      <c r="D40">
        <v>39</v>
      </c>
      <c r="E40" t="s">
        <v>72</v>
      </c>
    </row>
    <row r="41" spans="1:5">
      <c r="A41" t="s">
        <v>235</v>
      </c>
      <c r="B41" t="s">
        <v>224</v>
      </c>
      <c r="C41">
        <v>4406675320.3620005</v>
      </c>
      <c r="D41">
        <v>40</v>
      </c>
      <c r="E41" t="s">
        <v>223</v>
      </c>
    </row>
    <row r="42" spans="1:5">
      <c r="A42" s="2" t="s">
        <v>60</v>
      </c>
      <c r="B42" t="s">
        <v>106</v>
      </c>
      <c r="C42" s="2">
        <v>4291809603.8505998</v>
      </c>
      <c r="D42">
        <v>41</v>
      </c>
      <c r="E42" t="s">
        <v>59</v>
      </c>
    </row>
    <row r="43" spans="1:5">
      <c r="A43" t="s">
        <v>320</v>
      </c>
      <c r="B43" t="s">
        <v>290</v>
      </c>
      <c r="C43">
        <v>3894048958.7888002</v>
      </c>
      <c r="D43">
        <v>42</v>
      </c>
      <c r="E43" t="s">
        <v>291</v>
      </c>
    </row>
    <row r="44" spans="1:5">
      <c r="A44" t="s">
        <v>368</v>
      </c>
      <c r="B44" t="s">
        <v>356</v>
      </c>
      <c r="C44">
        <v>3768943797.3280001</v>
      </c>
      <c r="D44">
        <v>43</v>
      </c>
      <c r="E44" t="s">
        <v>355</v>
      </c>
    </row>
    <row r="45" spans="1:5">
      <c r="A45" t="s">
        <v>147</v>
      </c>
      <c r="B45" t="s">
        <v>148</v>
      </c>
      <c r="C45">
        <v>3484230776.8231997</v>
      </c>
      <c r="D45">
        <v>44</v>
      </c>
      <c r="E45" t="s">
        <v>149</v>
      </c>
    </row>
    <row r="46" spans="1:5">
      <c r="A46" t="s">
        <v>329</v>
      </c>
      <c r="B46" t="s">
        <v>309</v>
      </c>
      <c r="C46">
        <v>3247106609.1199999</v>
      </c>
      <c r="D46">
        <v>45</v>
      </c>
      <c r="E46" t="s">
        <v>310</v>
      </c>
    </row>
    <row r="47" spans="1:5">
      <c r="A47" t="s">
        <v>167</v>
      </c>
      <c r="B47" t="s">
        <v>168</v>
      </c>
      <c r="C47">
        <v>3079956927.3747001</v>
      </c>
      <c r="D47">
        <v>46</v>
      </c>
      <c r="E47" t="s">
        <v>166</v>
      </c>
    </row>
    <row r="48" spans="1:5">
      <c r="A48" s="2" t="s">
        <v>64</v>
      </c>
      <c r="B48" t="s">
        <v>63</v>
      </c>
      <c r="C48" s="2">
        <v>2996482466.2841001</v>
      </c>
      <c r="D48">
        <v>47</v>
      </c>
      <c r="E48" t="s">
        <v>76</v>
      </c>
    </row>
    <row r="49" spans="1:5">
      <c r="A49" t="s">
        <v>270</v>
      </c>
      <c r="B49" t="s">
        <v>265</v>
      </c>
      <c r="C49">
        <v>2928876784.6671</v>
      </c>
      <c r="D49">
        <v>48</v>
      </c>
      <c r="E49" t="s">
        <v>264</v>
      </c>
    </row>
    <row r="50" spans="1:5">
      <c r="A50" t="s">
        <v>125</v>
      </c>
      <c r="B50" t="s">
        <v>126</v>
      </c>
      <c r="C50">
        <v>2885760159.4601998</v>
      </c>
      <c r="D50">
        <v>49</v>
      </c>
      <c r="E50" t="s">
        <v>127</v>
      </c>
    </row>
    <row r="51" spans="1:5">
      <c r="A51" s="2" t="s">
        <v>93</v>
      </c>
      <c r="B51" t="s">
        <v>91</v>
      </c>
      <c r="C51" s="2">
        <v>2821483930.013</v>
      </c>
      <c r="D51">
        <v>50</v>
      </c>
      <c r="E51" t="s">
        <v>92</v>
      </c>
    </row>
    <row r="52" spans="1:5">
      <c r="A52" s="2" t="s">
        <v>15</v>
      </c>
      <c r="B52" t="s">
        <v>11</v>
      </c>
      <c r="C52" s="2">
        <v>2769387822.3920002</v>
      </c>
      <c r="D52">
        <v>51</v>
      </c>
      <c r="E52" t="s">
        <v>79</v>
      </c>
    </row>
    <row r="53" spans="1:5">
      <c r="A53" s="2" t="s">
        <v>40</v>
      </c>
      <c r="B53" t="s">
        <v>39</v>
      </c>
      <c r="C53" s="2">
        <v>2653912611.2733998</v>
      </c>
      <c r="D53">
        <v>52</v>
      </c>
      <c r="E53" t="s">
        <v>69</v>
      </c>
    </row>
    <row r="54" spans="1:5">
      <c r="A54" t="s">
        <v>97</v>
      </c>
      <c r="B54" t="s">
        <v>98</v>
      </c>
      <c r="C54">
        <v>2550210833.1259999</v>
      </c>
      <c r="D54">
        <v>53</v>
      </c>
      <c r="E54" t="s">
        <v>99</v>
      </c>
    </row>
    <row r="55" spans="1:5">
      <c r="A55" t="s">
        <v>134</v>
      </c>
      <c r="B55" t="s">
        <v>135</v>
      </c>
      <c r="C55">
        <v>2502896625.0900002</v>
      </c>
      <c r="D55">
        <v>54</v>
      </c>
      <c r="E55" t="s">
        <v>136</v>
      </c>
    </row>
    <row r="56" spans="1:5">
      <c r="A56" t="s">
        <v>144</v>
      </c>
      <c r="B56" t="s">
        <v>150</v>
      </c>
      <c r="C56">
        <v>2418481419.6999998</v>
      </c>
      <c r="D56">
        <v>55</v>
      </c>
      <c r="E56" t="s">
        <v>146</v>
      </c>
    </row>
    <row r="57" spans="1:5">
      <c r="A57" t="s">
        <v>214</v>
      </c>
      <c r="B57" t="s">
        <v>213</v>
      </c>
      <c r="C57">
        <v>2396689833.9456997</v>
      </c>
      <c r="D57">
        <v>56</v>
      </c>
      <c r="E57" t="s">
        <v>212</v>
      </c>
    </row>
    <row r="58" spans="1:5">
      <c r="A58" t="s">
        <v>328</v>
      </c>
      <c r="B58" t="s">
        <v>307</v>
      </c>
      <c r="C58">
        <v>2332450171.9003997</v>
      </c>
      <c r="D58">
        <v>57</v>
      </c>
      <c r="E58" t="s">
        <v>308</v>
      </c>
    </row>
    <row r="59" spans="1:5">
      <c r="A59" t="s">
        <v>110</v>
      </c>
      <c r="B59" t="s">
        <v>111</v>
      </c>
      <c r="C59">
        <v>2326216376.4510002</v>
      </c>
      <c r="D59">
        <v>58</v>
      </c>
      <c r="E59" t="s">
        <v>112</v>
      </c>
    </row>
    <row r="60" spans="1:5">
      <c r="A60" t="s">
        <v>321</v>
      </c>
      <c r="B60" t="s">
        <v>292</v>
      </c>
      <c r="C60">
        <v>2097026388.8212001</v>
      </c>
      <c r="D60">
        <v>59</v>
      </c>
      <c r="E60" t="s">
        <v>293</v>
      </c>
    </row>
    <row r="61" spans="1:5">
      <c r="A61" t="s">
        <v>239</v>
      </c>
      <c r="B61" t="s">
        <v>238</v>
      </c>
      <c r="C61">
        <v>2056858867.5354002</v>
      </c>
      <c r="D61">
        <v>60</v>
      </c>
      <c r="E61" t="s">
        <v>237</v>
      </c>
    </row>
    <row r="62" spans="1:5">
      <c r="A62" s="2" t="s">
        <v>28</v>
      </c>
      <c r="B62" t="s">
        <v>26</v>
      </c>
      <c r="C62" s="2">
        <v>1948548130.3091002</v>
      </c>
      <c r="D62">
        <v>61</v>
      </c>
      <c r="E62" t="s">
        <v>70</v>
      </c>
    </row>
    <row r="63" spans="1:5">
      <c r="A63" t="s">
        <v>246</v>
      </c>
      <c r="B63" t="s">
        <v>245</v>
      </c>
      <c r="C63">
        <v>1930905959.0350001</v>
      </c>
      <c r="D63">
        <v>62</v>
      </c>
      <c r="E63" t="s">
        <v>244</v>
      </c>
    </row>
    <row r="64" spans="1:5">
      <c r="A64" t="s">
        <v>361</v>
      </c>
      <c r="B64" t="s">
        <v>340</v>
      </c>
      <c r="C64">
        <v>1778876069.1354001</v>
      </c>
      <c r="D64">
        <v>63</v>
      </c>
      <c r="E64" t="s">
        <v>341</v>
      </c>
    </row>
    <row r="65" spans="1:5">
      <c r="A65" t="s">
        <v>100</v>
      </c>
      <c r="B65" t="s">
        <v>101</v>
      </c>
      <c r="C65">
        <v>1736856635.9732001</v>
      </c>
      <c r="D65">
        <v>64</v>
      </c>
      <c r="E65" t="s">
        <v>102</v>
      </c>
    </row>
    <row r="66" spans="1:5">
      <c r="A66" t="s">
        <v>116</v>
      </c>
      <c r="B66" t="s">
        <v>117</v>
      </c>
      <c r="C66">
        <v>1736256196.145</v>
      </c>
      <c r="D66">
        <v>65</v>
      </c>
      <c r="E66" t="s">
        <v>118</v>
      </c>
    </row>
    <row r="67" spans="1:5">
      <c r="A67" t="s">
        <v>333</v>
      </c>
      <c r="B67" t="s">
        <v>317</v>
      </c>
      <c r="C67">
        <v>1714710458.5492001</v>
      </c>
      <c r="D67">
        <v>66</v>
      </c>
      <c r="E67" t="s">
        <v>318</v>
      </c>
    </row>
    <row r="68" spans="1:5">
      <c r="A68" t="s">
        <v>233</v>
      </c>
      <c r="B68" t="s">
        <v>216</v>
      </c>
      <c r="C68">
        <v>1607627822.3743</v>
      </c>
      <c r="D68">
        <v>67</v>
      </c>
      <c r="E68" t="s">
        <v>215</v>
      </c>
    </row>
    <row r="69" spans="1:5">
      <c r="A69" t="s">
        <v>234</v>
      </c>
      <c r="B69" t="s">
        <v>220</v>
      </c>
      <c r="C69">
        <v>1598030998.3155</v>
      </c>
      <c r="D69">
        <v>68</v>
      </c>
      <c r="E69" t="s">
        <v>219</v>
      </c>
    </row>
    <row r="70" spans="1:5">
      <c r="A70" t="s">
        <v>119</v>
      </c>
      <c r="B70" t="s">
        <v>120</v>
      </c>
      <c r="C70">
        <v>1578390755.8548</v>
      </c>
      <c r="D70">
        <v>69</v>
      </c>
      <c r="E70" t="s">
        <v>230</v>
      </c>
    </row>
    <row r="71" spans="1:5">
      <c r="A71" t="s">
        <v>371</v>
      </c>
      <c r="B71" t="s">
        <v>352</v>
      </c>
      <c r="C71">
        <v>1568829840.4895999</v>
      </c>
      <c r="D71">
        <v>70</v>
      </c>
      <c r="E71" t="s">
        <v>370</v>
      </c>
    </row>
    <row r="72" spans="1:5">
      <c r="A72" t="s">
        <v>231</v>
      </c>
      <c r="B72" t="s">
        <v>227</v>
      </c>
      <c r="C72">
        <v>1563949867.8655</v>
      </c>
      <c r="D72">
        <v>71</v>
      </c>
      <c r="E72" t="s">
        <v>232</v>
      </c>
    </row>
    <row r="73" spans="1:5">
      <c r="A73" t="s">
        <v>249</v>
      </c>
      <c r="B73" t="s">
        <v>247</v>
      </c>
      <c r="C73">
        <v>1524766230.3396001</v>
      </c>
      <c r="D73">
        <v>72</v>
      </c>
      <c r="E73" t="s">
        <v>248</v>
      </c>
    </row>
    <row r="74" spans="1:5">
      <c r="A74" t="s">
        <v>58</v>
      </c>
      <c r="B74" s="2" t="s">
        <v>57</v>
      </c>
      <c r="C74" s="2">
        <v>1457242453.7647998</v>
      </c>
      <c r="D74">
        <v>73</v>
      </c>
      <c r="E74" t="s">
        <v>202</v>
      </c>
    </row>
    <row r="75" spans="1:5">
      <c r="A75" t="s">
        <v>252</v>
      </c>
      <c r="B75" t="s">
        <v>251</v>
      </c>
      <c r="C75">
        <v>1448140709.7811</v>
      </c>
      <c r="D75">
        <v>74</v>
      </c>
      <c r="E75" t="s">
        <v>250</v>
      </c>
    </row>
    <row r="76" spans="1:5">
      <c r="A76" t="s">
        <v>319</v>
      </c>
      <c r="B76" t="s">
        <v>289</v>
      </c>
      <c r="C76">
        <v>1391280344.8318</v>
      </c>
      <c r="D76">
        <v>75</v>
      </c>
      <c r="E76" t="s">
        <v>288</v>
      </c>
    </row>
    <row r="77" spans="1:5">
      <c r="A77" t="s">
        <v>363</v>
      </c>
      <c r="B77" t="s">
        <v>345</v>
      </c>
      <c r="C77">
        <v>1388453177.1763999</v>
      </c>
      <c r="D77">
        <v>76</v>
      </c>
      <c r="E77" t="s">
        <v>344</v>
      </c>
    </row>
    <row r="78" spans="1:5">
      <c r="A78" t="s">
        <v>376</v>
      </c>
      <c r="B78" t="s">
        <v>373</v>
      </c>
      <c r="C78">
        <v>1358415911.6561</v>
      </c>
      <c r="D78">
        <v>77</v>
      </c>
      <c r="E78" t="s">
        <v>372</v>
      </c>
    </row>
    <row r="79" spans="1:5">
      <c r="A79" t="s">
        <v>335</v>
      </c>
      <c r="B79" t="s">
        <v>298</v>
      </c>
      <c r="C79">
        <v>1355990178.5</v>
      </c>
      <c r="D79">
        <v>78</v>
      </c>
      <c r="E79" t="s">
        <v>334</v>
      </c>
    </row>
    <row r="80" spans="1:5">
      <c r="A80" t="s">
        <v>208</v>
      </c>
      <c r="B80" t="s">
        <v>207</v>
      </c>
      <c r="C80">
        <v>1280581018.5780001</v>
      </c>
      <c r="D80">
        <v>79</v>
      </c>
      <c r="E80" t="s">
        <v>206</v>
      </c>
    </row>
    <row r="81" spans="1:5">
      <c r="A81" s="2" t="s">
        <v>16</v>
      </c>
      <c r="B81" t="s">
        <v>13</v>
      </c>
      <c r="C81" s="2">
        <v>1237527558.0664001</v>
      </c>
      <c r="D81">
        <v>80</v>
      </c>
      <c r="E81" t="s">
        <v>81</v>
      </c>
    </row>
    <row r="82" spans="1:5">
      <c r="A82" t="s">
        <v>151</v>
      </c>
      <c r="B82" t="s">
        <v>145</v>
      </c>
      <c r="C82">
        <v>1096065877.1952</v>
      </c>
      <c r="D82">
        <v>81</v>
      </c>
      <c r="E82" t="s">
        <v>152</v>
      </c>
    </row>
    <row r="83" spans="1:5">
      <c r="A83" s="2" t="s">
        <v>14</v>
      </c>
      <c r="B83" t="s">
        <v>12</v>
      </c>
      <c r="C83" s="2">
        <v>960081872.57800007</v>
      </c>
      <c r="D83">
        <v>82</v>
      </c>
      <c r="E83" t="s">
        <v>73</v>
      </c>
    </row>
    <row r="84" spans="1:5">
      <c r="A84" t="s">
        <v>322</v>
      </c>
      <c r="B84" t="s">
        <v>294</v>
      </c>
      <c r="C84">
        <v>952821289.94089997</v>
      </c>
      <c r="D84">
        <v>83</v>
      </c>
      <c r="E84" t="s">
        <v>295</v>
      </c>
    </row>
    <row r="85" spans="1:5">
      <c r="A85" t="s">
        <v>330</v>
      </c>
      <c r="B85" t="s">
        <v>311</v>
      </c>
      <c r="C85">
        <v>879034292.13400006</v>
      </c>
      <c r="D85">
        <v>84</v>
      </c>
      <c r="E85" t="s">
        <v>312</v>
      </c>
    </row>
    <row r="86" spans="1:5">
      <c r="A86" s="2" t="s">
        <v>30</v>
      </c>
      <c r="B86" t="s">
        <v>25</v>
      </c>
      <c r="C86" s="2">
        <v>844616149.46259999</v>
      </c>
      <c r="D86">
        <v>85</v>
      </c>
      <c r="E86" t="s">
        <v>80</v>
      </c>
    </row>
    <row r="87" spans="1:5">
      <c r="A87" s="2" t="s">
        <v>36</v>
      </c>
      <c r="B87" t="s">
        <v>35</v>
      </c>
      <c r="C87" s="2">
        <v>814530410.52859998</v>
      </c>
      <c r="D87">
        <v>86</v>
      </c>
      <c r="E87" t="s">
        <v>87</v>
      </c>
    </row>
    <row r="88" spans="1:5">
      <c r="A88" s="2" t="s">
        <v>37</v>
      </c>
      <c r="B88" t="s">
        <v>38</v>
      </c>
      <c r="C88" s="2">
        <v>811350427.72689998</v>
      </c>
      <c r="D88">
        <v>87</v>
      </c>
      <c r="E88" t="s">
        <v>75</v>
      </c>
    </row>
    <row r="89" spans="1:5">
      <c r="A89" s="2" t="s">
        <v>22</v>
      </c>
      <c r="B89" t="s">
        <v>17</v>
      </c>
      <c r="C89" s="2">
        <v>745994098.98000002</v>
      </c>
      <c r="D89">
        <v>88</v>
      </c>
      <c r="E89" t="s">
        <v>82</v>
      </c>
    </row>
    <row r="90" spans="1:5">
      <c r="A90" t="s">
        <v>271</v>
      </c>
      <c r="B90" t="s">
        <v>267</v>
      </c>
      <c r="C90">
        <v>712941489.47720003</v>
      </c>
      <c r="D90">
        <v>89</v>
      </c>
      <c r="E90" t="s">
        <v>266</v>
      </c>
    </row>
    <row r="91" spans="1:5">
      <c r="A91" t="s">
        <v>369</v>
      </c>
      <c r="B91" t="s">
        <v>357</v>
      </c>
      <c r="C91">
        <v>708576833.03079998</v>
      </c>
      <c r="D91">
        <v>90</v>
      </c>
      <c r="E91" t="s">
        <v>358</v>
      </c>
    </row>
    <row r="92" spans="1:5">
      <c r="A92" t="s">
        <v>278</v>
      </c>
      <c r="B92" t="s">
        <v>272</v>
      </c>
      <c r="C92">
        <v>641064978.18480003</v>
      </c>
      <c r="D92">
        <v>91</v>
      </c>
      <c r="E92" t="s">
        <v>273</v>
      </c>
    </row>
    <row r="93" spans="1:5">
      <c r="A93" t="s">
        <v>367</v>
      </c>
      <c r="B93" t="s">
        <v>354</v>
      </c>
      <c r="C93">
        <v>586568126.04289997</v>
      </c>
      <c r="D93">
        <v>92</v>
      </c>
      <c r="E93" t="s">
        <v>353</v>
      </c>
    </row>
    <row r="94" spans="1:5">
      <c r="A94" s="2" t="s">
        <v>21</v>
      </c>
      <c r="B94" t="s">
        <v>19</v>
      </c>
      <c r="C94" s="2">
        <v>578052250.2536</v>
      </c>
      <c r="D94">
        <v>93</v>
      </c>
      <c r="E94" t="s">
        <v>84</v>
      </c>
    </row>
    <row r="95" spans="1:5">
      <c r="A95" t="s">
        <v>269</v>
      </c>
      <c r="B95" t="s">
        <v>263</v>
      </c>
      <c r="C95">
        <v>570882170.47439992</v>
      </c>
      <c r="D95">
        <v>94</v>
      </c>
      <c r="E95" t="s">
        <v>262</v>
      </c>
    </row>
    <row r="96" spans="1:5">
      <c r="A96" s="2" t="s">
        <v>62</v>
      </c>
      <c r="B96" t="s">
        <v>61</v>
      </c>
      <c r="C96" s="2">
        <v>485643912.7859</v>
      </c>
      <c r="D96">
        <v>95</v>
      </c>
      <c r="E96" t="s">
        <v>153</v>
      </c>
    </row>
    <row r="97" spans="1:5">
      <c r="A97" t="s">
        <v>268</v>
      </c>
      <c r="B97" t="s">
        <v>261</v>
      </c>
      <c r="C97">
        <v>461602442.19680005</v>
      </c>
      <c r="D97">
        <v>96</v>
      </c>
      <c r="E97" t="s">
        <v>260</v>
      </c>
    </row>
    <row r="98" spans="1:5">
      <c r="A98" s="2" t="s">
        <v>41</v>
      </c>
      <c r="B98" s="2" t="s">
        <v>42</v>
      </c>
      <c r="C98" s="2">
        <v>415107936.13819999</v>
      </c>
      <c r="D98">
        <v>97</v>
      </c>
      <c r="E98" t="s">
        <v>77</v>
      </c>
    </row>
    <row r="99" spans="1:5">
      <c r="A99" t="s">
        <v>205</v>
      </c>
      <c r="B99" t="s">
        <v>204</v>
      </c>
      <c r="C99">
        <v>331915931.63800001</v>
      </c>
      <c r="D99">
        <v>98</v>
      </c>
      <c r="E99" t="s">
        <v>203</v>
      </c>
    </row>
    <row r="100" spans="1:5">
      <c r="A100" t="s">
        <v>324</v>
      </c>
      <c r="B100" t="s">
        <v>300</v>
      </c>
      <c r="C100">
        <v>286794237.14100003</v>
      </c>
      <c r="D100">
        <v>99</v>
      </c>
      <c r="E100" t="s">
        <v>299</v>
      </c>
    </row>
    <row r="101" spans="1:5">
      <c r="A101" t="s">
        <v>128</v>
      </c>
      <c r="B101" t="s">
        <v>129</v>
      </c>
      <c r="C101">
        <v>286202463.995</v>
      </c>
      <c r="D101">
        <v>100</v>
      </c>
      <c r="E101" t="s">
        <v>130</v>
      </c>
    </row>
    <row r="102" spans="1:5">
      <c r="A102" t="s">
        <v>286</v>
      </c>
      <c r="B102" t="s">
        <v>284</v>
      </c>
      <c r="C102">
        <v>282837001.8664</v>
      </c>
      <c r="D102">
        <v>101</v>
      </c>
      <c r="E102" t="s">
        <v>285</v>
      </c>
    </row>
    <row r="103" spans="1:5">
      <c r="A103" t="s">
        <v>323</v>
      </c>
      <c r="B103" t="s">
        <v>296</v>
      </c>
      <c r="C103">
        <v>252717146.50119999</v>
      </c>
      <c r="D103">
        <v>102</v>
      </c>
      <c r="E103" t="s">
        <v>297</v>
      </c>
    </row>
    <row r="104" spans="1:5">
      <c r="A104" s="2" t="s">
        <v>54</v>
      </c>
      <c r="B104" t="s">
        <v>53</v>
      </c>
      <c r="C104" s="2">
        <v>214551133.8644</v>
      </c>
      <c r="D104">
        <v>103</v>
      </c>
      <c r="E104" t="s">
        <v>86</v>
      </c>
    </row>
    <row r="105" spans="1:5">
      <c r="A105" t="s">
        <v>362</v>
      </c>
      <c r="B105" t="s">
        <v>342</v>
      </c>
      <c r="C105">
        <v>152580036.0086</v>
      </c>
      <c r="D105">
        <v>104</v>
      </c>
      <c r="E105" t="s">
        <v>343</v>
      </c>
    </row>
    <row r="106" spans="1:5">
      <c r="A106" t="s">
        <v>279</v>
      </c>
      <c r="B106" t="s">
        <v>275</v>
      </c>
      <c r="C106">
        <v>134108605.74959999</v>
      </c>
      <c r="D106">
        <v>105</v>
      </c>
      <c r="E106" t="s">
        <v>274</v>
      </c>
    </row>
    <row r="107" spans="1:5">
      <c r="A107" t="s">
        <v>360</v>
      </c>
      <c r="B107" t="s">
        <v>338</v>
      </c>
      <c r="C107">
        <v>116542992.53040001</v>
      </c>
      <c r="D107">
        <v>106</v>
      </c>
      <c r="E107" t="s">
        <v>339</v>
      </c>
    </row>
    <row r="108" spans="1:5">
      <c r="A108" s="2" t="s">
        <v>259</v>
      </c>
      <c r="B108" t="s">
        <v>257</v>
      </c>
      <c r="C108">
        <v>91249180.460199997</v>
      </c>
      <c r="D108">
        <v>107</v>
      </c>
      <c r="E108" t="s">
        <v>258</v>
      </c>
    </row>
    <row r="109" spans="1:5">
      <c r="A109" t="s">
        <v>326</v>
      </c>
      <c r="B109" t="s">
        <v>303</v>
      </c>
      <c r="C109">
        <v>52046283.337499999</v>
      </c>
      <c r="D109">
        <v>108</v>
      </c>
      <c r="E109" t="s">
        <v>304</v>
      </c>
    </row>
    <row r="110" spans="1:5">
      <c r="A110" t="s">
        <v>377</v>
      </c>
      <c r="B110" t="s">
        <v>375</v>
      </c>
      <c r="C110">
        <v>25773694.131999999</v>
      </c>
      <c r="D110">
        <v>109</v>
      </c>
      <c r="E110" t="s">
        <v>374</v>
      </c>
    </row>
    <row r="111" spans="1:5">
      <c r="A111" t="s">
        <v>327</v>
      </c>
      <c r="B111" t="s">
        <v>305</v>
      </c>
      <c r="C111">
        <v>20215916.287999999</v>
      </c>
      <c r="D111">
        <v>110</v>
      </c>
      <c r="E111" t="s">
        <v>306</v>
      </c>
    </row>
  </sheetData>
  <autoFilter ref="A1:E1" xr:uid="{F35CEFC1-B3C5-47E8-B313-C5CF74631A2D}">
    <sortState xmlns:xlrd2="http://schemas.microsoft.com/office/spreadsheetml/2017/richdata2" ref="A2:E113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topLeftCell="A19" workbookViewId="0">
      <selection activeCell="F54" sqref="A2:F54"/>
    </sheetView>
  </sheetViews>
  <sheetFormatPr defaultRowHeight="1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  <col min="7" max="7" width="10.42578125" bestFit="1" customWidth="1"/>
  </cols>
  <sheetData>
    <row r="1" spans="1:7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P115"/>
  <sheetViews>
    <sheetView topLeftCell="L31" zoomScale="55" zoomScaleNormal="55" workbookViewId="0">
      <selection activeCell="AO98" sqref="AO3:AO98"/>
    </sheetView>
  </sheetViews>
  <sheetFormatPr defaultRowHeight="15"/>
  <cols>
    <col min="1" max="1" width="30.42578125" customWidth="1"/>
    <col min="2" max="2" width="14.85546875" bestFit="1" customWidth="1"/>
    <col min="3" max="3" width="14.7109375" bestFit="1" customWidth="1"/>
    <col min="4" max="8" width="16" bestFit="1" customWidth="1"/>
    <col min="9" max="9" width="14.7109375" bestFit="1" customWidth="1"/>
    <col min="10" max="11" width="16" bestFit="1" customWidth="1"/>
    <col min="12" max="12" width="14.7109375" bestFit="1" customWidth="1"/>
    <col min="13" max="14" width="16" bestFit="1" customWidth="1"/>
    <col min="15" max="15" width="14.7109375" bestFit="1" customWidth="1"/>
    <col min="16" max="18" width="16" bestFit="1" customWidth="1"/>
    <col min="19" max="19" width="18.5703125" bestFit="1" customWidth="1"/>
    <col min="20" max="20" width="20.42578125" bestFit="1" customWidth="1"/>
    <col min="21" max="28" width="16" bestFit="1" customWidth="1"/>
    <col min="29" max="29" width="21.140625" bestFit="1" customWidth="1"/>
    <col min="30" max="30" width="17.28515625" bestFit="1" customWidth="1"/>
    <col min="31" max="33" width="16" bestFit="1" customWidth="1"/>
    <col min="34" max="34" width="14.7109375" bestFit="1" customWidth="1"/>
    <col min="35" max="36" width="16" bestFit="1" customWidth="1"/>
    <col min="37" max="37" width="14.7109375" bestFit="1" customWidth="1"/>
    <col min="38" max="39" width="16" bestFit="1" customWidth="1"/>
  </cols>
  <sheetData>
    <row r="1" spans="1:42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  <c r="AK1" s="4">
        <v>45669</v>
      </c>
      <c r="AN1" s="4"/>
    </row>
    <row r="2" spans="1:42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  <c r="P2" t="s">
        <v>157</v>
      </c>
      <c r="Q2" t="s">
        <v>160</v>
      </c>
      <c r="R2" t="s">
        <v>161</v>
      </c>
      <c r="S2" t="s">
        <v>157</v>
      </c>
      <c r="T2" t="s">
        <v>160</v>
      </c>
      <c r="U2" t="s">
        <v>161</v>
      </c>
      <c r="V2" t="s">
        <v>157</v>
      </c>
      <c r="W2" t="s">
        <v>160</v>
      </c>
      <c r="X2" t="s">
        <v>161</v>
      </c>
      <c r="Y2" t="s">
        <v>157</v>
      </c>
      <c r="Z2" t="s">
        <v>160</v>
      </c>
      <c r="AA2" t="s">
        <v>161</v>
      </c>
      <c r="AB2" t="s">
        <v>157</v>
      </c>
      <c r="AC2" t="s">
        <v>160</v>
      </c>
      <c r="AD2" t="s">
        <v>161</v>
      </c>
      <c r="AE2" t="s">
        <v>157</v>
      </c>
      <c r="AF2" t="s">
        <v>160</v>
      </c>
      <c r="AG2" t="s">
        <v>161</v>
      </c>
      <c r="AH2" t="s">
        <v>157</v>
      </c>
      <c r="AI2" t="s">
        <v>160</v>
      </c>
      <c r="AJ2" t="s">
        <v>161</v>
      </c>
      <c r="AK2" t="s">
        <v>157</v>
      </c>
      <c r="AL2" t="s">
        <v>160</v>
      </c>
      <c r="AM2" t="s">
        <v>161</v>
      </c>
    </row>
    <row r="3" spans="1:42">
      <c r="B3" t="s">
        <v>154</v>
      </c>
      <c r="C3" t="s">
        <v>155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  <c r="AK3">
        <v>790305233</v>
      </c>
      <c r="AL3">
        <v>6096256506.3154001</v>
      </c>
      <c r="AM3">
        <f>SUM($AK$3+$AL$3)</f>
        <v>6886561739.3154001</v>
      </c>
      <c r="AO3" s="15">
        <f>AM3/AG3-1</f>
        <v>0.67787991713068241</v>
      </c>
      <c r="AP3" s="16"/>
    </row>
    <row r="4" spans="1:42">
      <c r="B4" t="s">
        <v>175</v>
      </c>
      <c r="C4" t="s">
        <v>174</v>
      </c>
      <c r="D4">
        <v>558794398</v>
      </c>
      <c r="E4">
        <v>4626761736.0002003</v>
      </c>
      <c r="F4">
        <f t="shared" ref="F4:F66" si="0">SUM(D4+E4)</f>
        <v>5185556134.0002003</v>
      </c>
      <c r="G4">
        <v>558794398</v>
      </c>
      <c r="H4">
        <v>4626761736.0002003</v>
      </c>
      <c r="I4">
        <f t="shared" ref="I4:I66" si="1">SUM(G4+H4)</f>
        <v>5185556134.0002003</v>
      </c>
      <c r="J4">
        <v>558794398</v>
      </c>
      <c r="K4">
        <v>4626761736.0002003</v>
      </c>
      <c r="L4">
        <f t="shared" ref="L4:L66" si="2">SUM(J4+K4)</f>
        <v>5185556134.0002003</v>
      </c>
      <c r="M4">
        <v>558794398</v>
      </c>
      <c r="N4">
        <v>4626761736.0002003</v>
      </c>
      <c r="O4">
        <f t="shared" ref="O4:O66" si="3">SUM(M4+N4)</f>
        <v>5185556134.0002003</v>
      </c>
      <c r="P4">
        <v>558794398</v>
      </c>
      <c r="Q4">
        <v>4626761736.0002003</v>
      </c>
      <c r="R4">
        <f t="shared" ref="R4:R66" si="4">SUM(P4+Q4)</f>
        <v>5185556134.0002003</v>
      </c>
      <c r="S4">
        <v>558794398</v>
      </c>
      <c r="T4">
        <v>4626761736.0002003</v>
      </c>
      <c r="U4">
        <f t="shared" ref="U4:U66" si="5">SUM(S4+T4)</f>
        <v>5185556134.0002003</v>
      </c>
      <c r="V4">
        <v>558794398</v>
      </c>
      <c r="W4">
        <v>4626761736.0002003</v>
      </c>
      <c r="X4">
        <f t="shared" ref="X4:X66" si="6">SUM(V4+W4)</f>
        <v>5185556134.0002003</v>
      </c>
      <c r="Y4">
        <v>558794398</v>
      </c>
      <c r="Z4">
        <v>4626761736.0002003</v>
      </c>
      <c r="AA4">
        <f t="shared" ref="AA4:AA66" si="7">SUM(Y4+Z4)</f>
        <v>5185556134.0002003</v>
      </c>
      <c r="AB4">
        <v>730458718</v>
      </c>
      <c r="AC4">
        <v>6339212938.2912006</v>
      </c>
      <c r="AD4">
        <f t="shared" ref="AD4:AD66" si="8">SUM(AB4+AC4)</f>
        <v>7069671656.2912006</v>
      </c>
      <c r="AE4">
        <v>913844624</v>
      </c>
      <c r="AF4">
        <v>8463297831.7888002</v>
      </c>
      <c r="AG4">
        <f t="shared" ref="AG4:AG66" si="9">SUM(AE4+AF4)</f>
        <v>9377142455.7887993</v>
      </c>
      <c r="AH4">
        <v>1013005872</v>
      </c>
      <c r="AI4">
        <v>9864651181.5359993</v>
      </c>
      <c r="AJ4">
        <f>SUM($AH$4+$AI$4)</f>
        <v>10877657053.535999</v>
      </c>
      <c r="AK4">
        <v>1404918738</v>
      </c>
      <c r="AL4">
        <v>16151648271.417002</v>
      </c>
      <c r="AM4">
        <f>SUM($AK$4+$AL$4)</f>
        <v>17556567009.417</v>
      </c>
      <c r="AO4" s="15">
        <f t="shared" ref="AO4:AO67" si="10">AM4/AG4-1</f>
        <v>0.87227261313267013</v>
      </c>
      <c r="AP4" s="16"/>
    </row>
    <row r="5" spans="1:42">
      <c r="B5" s="2" t="s">
        <v>46</v>
      </c>
      <c r="C5" t="s">
        <v>45</v>
      </c>
      <c r="D5">
        <v>417958832</v>
      </c>
      <c r="E5">
        <v>2782895291.1056004</v>
      </c>
      <c r="F5">
        <f t="shared" si="0"/>
        <v>3200854123.1056004</v>
      </c>
      <c r="G5">
        <v>458014303</v>
      </c>
      <c r="H5">
        <v>3262435880.2689996</v>
      </c>
      <c r="I5">
        <f t="shared" si="1"/>
        <v>3720450183.2689996</v>
      </c>
      <c r="J5">
        <v>515408617</v>
      </c>
      <c r="K5">
        <v>3912312189.0619001</v>
      </c>
      <c r="L5">
        <f t="shared" si="2"/>
        <v>4427720806.0619001</v>
      </c>
      <c r="M5">
        <v>537849062</v>
      </c>
      <c r="N5">
        <v>4176182826.8052001</v>
      </c>
      <c r="O5">
        <f t="shared" si="3"/>
        <v>4714031888.8052006</v>
      </c>
      <c r="P5">
        <v>603976187</v>
      </c>
      <c r="Q5">
        <v>4941793559.6527004</v>
      </c>
      <c r="R5">
        <f t="shared" si="4"/>
        <v>5545769746.6527004</v>
      </c>
      <c r="S5">
        <v>740902292</v>
      </c>
      <c r="T5">
        <v>6860755223.9200001</v>
      </c>
      <c r="U5">
        <f t="shared" si="5"/>
        <v>7601657515.9200001</v>
      </c>
      <c r="V5">
        <v>879245376</v>
      </c>
      <c r="W5">
        <v>8650016009.0879993</v>
      </c>
      <c r="X5">
        <f t="shared" si="6"/>
        <v>9529261385.0879993</v>
      </c>
      <c r="Y5">
        <v>984698489</v>
      </c>
      <c r="Z5">
        <v>9923495962.5953007</v>
      </c>
      <c r="AA5">
        <f t="shared" si="7"/>
        <v>10908194451.595301</v>
      </c>
      <c r="AB5">
        <v>1082665544</v>
      </c>
      <c r="AC5">
        <v>11117351138.563999</v>
      </c>
      <c r="AD5">
        <f t="shared" si="8"/>
        <v>12200016682.563999</v>
      </c>
      <c r="AE5">
        <v>1261081255</v>
      </c>
      <c r="AF5">
        <v>13669868587.948999</v>
      </c>
      <c r="AG5">
        <f t="shared" si="9"/>
        <v>14930949842.948999</v>
      </c>
      <c r="AH5">
        <v>1341993540</v>
      </c>
      <c r="AI5">
        <v>14944976858.856001</v>
      </c>
      <c r="AJ5">
        <f>SUM($AH$5+$AI$5)</f>
        <v>16286970398.856001</v>
      </c>
      <c r="AK5">
        <v>1808293872</v>
      </c>
      <c r="AL5">
        <v>22425737282.995201</v>
      </c>
      <c r="AM5">
        <f>SUM($AK$5+$AL$5)</f>
        <v>24234031154.995201</v>
      </c>
      <c r="AO5" s="15">
        <f t="shared" si="10"/>
        <v>0.62307364299663059</v>
      </c>
      <c r="AP5" s="16"/>
    </row>
    <row r="6" spans="1:42">
      <c r="B6" t="s">
        <v>97</v>
      </c>
      <c r="C6" t="s">
        <v>98</v>
      </c>
      <c r="D6">
        <v>157727650</v>
      </c>
      <c r="E6">
        <v>435202131.88000005</v>
      </c>
      <c r="F6">
        <f t="shared" si="0"/>
        <v>592929781.88000011</v>
      </c>
      <c r="G6">
        <v>161025055</v>
      </c>
      <c r="H6">
        <v>468228654.92899996</v>
      </c>
      <c r="I6">
        <f t="shared" si="1"/>
        <v>629253709.9289999</v>
      </c>
      <c r="J6">
        <v>146539730</v>
      </c>
      <c r="K6">
        <v>465380874.53399998</v>
      </c>
      <c r="L6">
        <f t="shared" si="2"/>
        <v>611920604.53399992</v>
      </c>
      <c r="M6">
        <v>147678420</v>
      </c>
      <c r="N6">
        <v>473146889.838</v>
      </c>
      <c r="O6">
        <f t="shared" si="3"/>
        <v>620825309.83800006</v>
      </c>
      <c r="P6">
        <v>158720085</v>
      </c>
      <c r="Q6">
        <v>559091499.41250002</v>
      </c>
      <c r="R6">
        <f t="shared" si="4"/>
        <v>717811584.41250002</v>
      </c>
      <c r="S6">
        <v>183364435</v>
      </c>
      <c r="T6">
        <v>724436209.79799998</v>
      </c>
      <c r="U6">
        <f t="shared" si="5"/>
        <v>907800644.79799998</v>
      </c>
      <c r="V6">
        <v>204120176</v>
      </c>
      <c r="W6">
        <v>841852841.87680006</v>
      </c>
      <c r="X6">
        <f t="shared" si="6"/>
        <v>1045973017.8768001</v>
      </c>
      <c r="Y6">
        <v>233956519</v>
      </c>
      <c r="Z6">
        <v>1005404744.7506</v>
      </c>
      <c r="AA6">
        <f t="shared" si="7"/>
        <v>1239361263.7505999</v>
      </c>
      <c r="AB6">
        <v>244925674</v>
      </c>
      <c r="AC6">
        <v>1066406384.596</v>
      </c>
      <c r="AD6">
        <f t="shared" si="8"/>
        <v>1311332058.596</v>
      </c>
      <c r="AE6">
        <v>282014054</v>
      </c>
      <c r="AF6">
        <v>1322702316.0708001</v>
      </c>
      <c r="AG6">
        <f t="shared" si="9"/>
        <v>1604716370.0708001</v>
      </c>
      <c r="AH6">
        <v>289845153</v>
      </c>
      <c r="AI6">
        <v>1473833618.4897001</v>
      </c>
      <c r="AJ6">
        <f>SUM($AH$6+$AI$6)</f>
        <v>1763678771.4897001</v>
      </c>
      <c r="AK6">
        <v>369331956</v>
      </c>
      <c r="AL6">
        <v>2172964563.1259999</v>
      </c>
      <c r="AM6">
        <f>SUM($AK$6+$AL$6)</f>
        <v>2542296519.1259999</v>
      </c>
      <c r="AO6" s="15">
        <f t="shared" si="10"/>
        <v>0.58426533594459062</v>
      </c>
      <c r="AP6" s="16"/>
    </row>
    <row r="7" spans="1:42">
      <c r="B7" t="s">
        <v>167</v>
      </c>
      <c r="C7" t="s">
        <v>168</v>
      </c>
      <c r="D7">
        <v>44644000</v>
      </c>
      <c r="E7">
        <v>47626529.171199992</v>
      </c>
      <c r="F7">
        <f t="shared" si="0"/>
        <v>92270529.171199992</v>
      </c>
      <c r="G7">
        <v>49081696</v>
      </c>
      <c r="H7">
        <v>58466116.275200002</v>
      </c>
      <c r="I7">
        <f t="shared" si="1"/>
        <v>107547812.27520001</v>
      </c>
      <c r="J7">
        <v>46505356</v>
      </c>
      <c r="K7">
        <v>82137759.767200008</v>
      </c>
      <c r="L7">
        <f t="shared" si="2"/>
        <v>128643115.76720001</v>
      </c>
      <c r="M7">
        <v>55580356</v>
      </c>
      <c r="N7">
        <v>102612453.2472</v>
      </c>
      <c r="O7">
        <f t="shared" si="3"/>
        <v>158192809.24720001</v>
      </c>
      <c r="P7">
        <v>80657156</v>
      </c>
      <c r="Q7">
        <v>170928644.99519998</v>
      </c>
      <c r="R7">
        <f t="shared" si="4"/>
        <v>251585800.99519998</v>
      </c>
      <c r="S7">
        <v>117231051</v>
      </c>
      <c r="T7">
        <v>318153349.3089</v>
      </c>
      <c r="U7">
        <f t="shared" si="5"/>
        <v>435384400.3089</v>
      </c>
      <c r="V7">
        <v>137147746</v>
      </c>
      <c r="W7">
        <v>403008651.62100005</v>
      </c>
      <c r="X7">
        <f t="shared" si="6"/>
        <v>540156397.62100005</v>
      </c>
      <c r="Y7">
        <v>210705186</v>
      </c>
      <c r="Z7">
        <v>735993214.69800007</v>
      </c>
      <c r="AA7">
        <f t="shared" si="7"/>
        <v>946698400.69800007</v>
      </c>
      <c r="AB7">
        <v>280430335</v>
      </c>
      <c r="AC7">
        <v>1063532045.4875</v>
      </c>
      <c r="AD7">
        <f t="shared" si="8"/>
        <v>1343962380.4875</v>
      </c>
      <c r="AE7">
        <v>320333561</v>
      </c>
      <c r="AF7">
        <v>1331978979.9941001</v>
      </c>
      <c r="AG7">
        <f t="shared" si="9"/>
        <v>1652312540.9941001</v>
      </c>
      <c r="AH7">
        <v>365218100</v>
      </c>
      <c r="AI7">
        <v>1723938997.4299998</v>
      </c>
      <c r="AJ7">
        <f>SUM($AH$7+$AI$7)</f>
        <v>2089157097.4299998</v>
      </c>
      <c r="AK7">
        <v>456442339</v>
      </c>
      <c r="AL7">
        <v>2605053361.3747001</v>
      </c>
      <c r="AM7">
        <f>SUM($AK$7+$AL$7)</f>
        <v>3061495700.3747001</v>
      </c>
      <c r="AO7" s="15">
        <f t="shared" si="10"/>
        <v>0.85285508910606977</v>
      </c>
      <c r="AP7" s="16"/>
    </row>
    <row r="8" spans="1:42">
      <c r="B8" t="s">
        <v>131</v>
      </c>
      <c r="C8" t="s">
        <v>132</v>
      </c>
      <c r="D8">
        <v>149001966</v>
      </c>
      <c r="E8">
        <v>514622990.17079997</v>
      </c>
      <c r="F8">
        <f t="shared" si="0"/>
        <v>663624956.17079997</v>
      </c>
      <c r="G8">
        <v>165844676</v>
      </c>
      <c r="H8">
        <v>623642319.63040006</v>
      </c>
      <c r="I8">
        <f t="shared" si="1"/>
        <v>789486995.63040006</v>
      </c>
      <c r="J8">
        <v>179263645</v>
      </c>
      <c r="K8">
        <v>756958667.37699997</v>
      </c>
      <c r="L8">
        <f t="shared" si="2"/>
        <v>936222312.37699997</v>
      </c>
      <c r="M8">
        <v>179736040</v>
      </c>
      <c r="N8">
        <v>758863534.48399997</v>
      </c>
      <c r="O8">
        <f t="shared" si="3"/>
        <v>938599574.48399997</v>
      </c>
      <c r="P8">
        <v>203008320</v>
      </c>
      <c r="Q8">
        <v>871575620.25599992</v>
      </c>
      <c r="R8">
        <f t="shared" si="4"/>
        <v>1074583940.256</v>
      </c>
      <c r="S8">
        <v>252721000</v>
      </c>
      <c r="T8">
        <v>1274699451.8999999</v>
      </c>
      <c r="U8">
        <f t="shared" si="5"/>
        <v>1527420451.8999999</v>
      </c>
      <c r="V8">
        <v>311095485</v>
      </c>
      <c r="W8">
        <v>1623856212.6030002</v>
      </c>
      <c r="X8">
        <f t="shared" si="6"/>
        <v>1934951697.6030002</v>
      </c>
      <c r="Y8">
        <v>401468375</v>
      </c>
      <c r="Z8">
        <v>2207433713.0999999</v>
      </c>
      <c r="AA8">
        <f t="shared" si="7"/>
        <v>2608902088.0999999</v>
      </c>
      <c r="AB8">
        <v>496175343</v>
      </c>
      <c r="AC8">
        <v>2838172579.4942999</v>
      </c>
      <c r="AD8">
        <f t="shared" si="8"/>
        <v>3334347922.4942999</v>
      </c>
      <c r="AE8">
        <v>577869419</v>
      </c>
      <c r="AF8">
        <v>3568170301.4993</v>
      </c>
      <c r="AG8">
        <f t="shared" si="9"/>
        <v>4146039720.4993</v>
      </c>
      <c r="AH8">
        <v>607366679</v>
      </c>
      <c r="AI8">
        <v>3773629913.2948995</v>
      </c>
      <c r="AJ8">
        <f>SUM($AH$8+$AI$8)</f>
        <v>4380996592.294899</v>
      </c>
      <c r="AK8">
        <v>794769324</v>
      </c>
      <c r="AL8">
        <v>5725200302.3663998</v>
      </c>
      <c r="AM8">
        <f>SUM($AK$8+$AL$8)</f>
        <v>6519969626.3663998</v>
      </c>
      <c r="AO8" s="15">
        <f t="shared" si="10"/>
        <v>0.57257770448499512</v>
      </c>
      <c r="AP8" s="16"/>
    </row>
    <row r="9" spans="1:42">
      <c r="B9" t="s">
        <v>141</v>
      </c>
      <c r="C9" t="s">
        <v>142</v>
      </c>
      <c r="D9">
        <v>256781218</v>
      </c>
      <c r="E9">
        <v>998545122.43659997</v>
      </c>
      <c r="F9">
        <f t="shared" si="0"/>
        <v>1255326340.4366</v>
      </c>
      <c r="G9">
        <v>268513618</v>
      </c>
      <c r="H9">
        <v>1094649466.5006001</v>
      </c>
      <c r="I9">
        <f t="shared" si="1"/>
        <v>1363163084.5006001</v>
      </c>
      <c r="J9">
        <v>275215438</v>
      </c>
      <c r="K9">
        <v>1247276365.016</v>
      </c>
      <c r="L9">
        <f t="shared" si="2"/>
        <v>1522491803.016</v>
      </c>
      <c r="M9">
        <v>279685168</v>
      </c>
      <c r="N9">
        <v>1283643047.0527999</v>
      </c>
      <c r="O9">
        <f t="shared" si="3"/>
        <v>1563328215.0527999</v>
      </c>
      <c r="P9">
        <v>306125458</v>
      </c>
      <c r="Q9">
        <v>1483392131.8306</v>
      </c>
      <c r="R9">
        <f t="shared" si="4"/>
        <v>1789517589.8306</v>
      </c>
      <c r="S9">
        <v>353731744</v>
      </c>
      <c r="T9">
        <v>1915103662.016</v>
      </c>
      <c r="U9">
        <f t="shared" si="5"/>
        <v>2268835406.0159998</v>
      </c>
      <c r="V9">
        <v>395580544</v>
      </c>
      <c r="W9">
        <v>2192109584.5759997</v>
      </c>
      <c r="X9">
        <f t="shared" si="6"/>
        <v>2587690128.5759997</v>
      </c>
      <c r="Y9">
        <v>463174872</v>
      </c>
      <c r="Z9">
        <v>2677706570.0064001</v>
      </c>
      <c r="AA9">
        <f t="shared" si="7"/>
        <v>3140881442.0064001</v>
      </c>
      <c r="AB9">
        <v>511460382</v>
      </c>
      <c r="AC9">
        <v>3051832953.3558002</v>
      </c>
      <c r="AD9">
        <f t="shared" si="8"/>
        <v>3563293335.3558002</v>
      </c>
      <c r="AE9">
        <v>578465078</v>
      </c>
      <c r="AF9">
        <v>3640454275.3774004</v>
      </c>
      <c r="AG9">
        <f t="shared" si="9"/>
        <v>4218919353.3774004</v>
      </c>
      <c r="AH9">
        <v>593708552</v>
      </c>
      <c r="AI9">
        <v>3841234960.5848002</v>
      </c>
      <c r="AJ9">
        <f>SUM($AH$9+$AI$9)</f>
        <v>4434943512.5848007</v>
      </c>
      <c r="AK9">
        <v>676971100</v>
      </c>
      <c r="AL9">
        <v>4731012532.3500004</v>
      </c>
      <c r="AM9">
        <f>SUM($AK$9+$AL$9)</f>
        <v>5407983632.3500004</v>
      </c>
      <c r="AO9" s="15">
        <f t="shared" si="10"/>
        <v>0.28184095958618172</v>
      </c>
      <c r="AP9" s="16"/>
    </row>
    <row r="10" spans="1:42">
      <c r="B10" t="s">
        <v>113</v>
      </c>
      <c r="C10" t="s">
        <v>114</v>
      </c>
      <c r="D10">
        <v>95657096</v>
      </c>
      <c r="E10">
        <v>213946660.9136</v>
      </c>
      <c r="F10">
        <f t="shared" si="0"/>
        <v>309603756.91359997</v>
      </c>
      <c r="G10">
        <v>107839026</v>
      </c>
      <c r="H10">
        <v>259697942.41319999</v>
      </c>
      <c r="I10">
        <f t="shared" si="1"/>
        <v>367536968.41320002</v>
      </c>
      <c r="J10">
        <v>118463595</v>
      </c>
      <c r="K10">
        <v>321652353.14399999</v>
      </c>
      <c r="L10">
        <f t="shared" si="2"/>
        <v>440115948.14399999</v>
      </c>
      <c r="M10">
        <v>129070575</v>
      </c>
      <c r="N10">
        <v>390916050.5025</v>
      </c>
      <c r="O10">
        <f t="shared" si="3"/>
        <v>519986625.5025</v>
      </c>
      <c r="P10">
        <v>150582575</v>
      </c>
      <c r="Q10">
        <v>493112758.35250002</v>
      </c>
      <c r="R10">
        <f t="shared" si="4"/>
        <v>643695333.35249996</v>
      </c>
      <c r="S10">
        <v>218765035</v>
      </c>
      <c r="T10">
        <v>904877814.27049994</v>
      </c>
      <c r="U10">
        <f t="shared" si="5"/>
        <v>1123642849.2704999</v>
      </c>
      <c r="V10">
        <v>255448285</v>
      </c>
      <c r="W10">
        <v>1107802577.5595</v>
      </c>
      <c r="X10">
        <f t="shared" si="6"/>
        <v>1363250862.5595</v>
      </c>
      <c r="Y10">
        <v>344536488</v>
      </c>
      <c r="Z10">
        <v>1627383647.4191999</v>
      </c>
      <c r="AA10">
        <f t="shared" si="7"/>
        <v>1971920135.4191999</v>
      </c>
      <c r="AB10">
        <v>432096233</v>
      </c>
      <c r="AC10">
        <v>2166055206.4057002</v>
      </c>
      <c r="AD10">
        <f t="shared" si="8"/>
        <v>2598151439.4057002</v>
      </c>
      <c r="AE10">
        <v>513150110</v>
      </c>
      <c r="AF10">
        <v>2790869503.257</v>
      </c>
      <c r="AG10">
        <f t="shared" si="9"/>
        <v>3304019613.257</v>
      </c>
      <c r="AH10">
        <v>531377420</v>
      </c>
      <c r="AI10">
        <v>3025981855.9320002</v>
      </c>
      <c r="AJ10">
        <f>SUM($AH$10+$AI$10)</f>
        <v>3557359275.9320002</v>
      </c>
      <c r="AK10">
        <v>677423298</v>
      </c>
      <c r="AL10">
        <v>4382386799.4215994</v>
      </c>
      <c r="AM10">
        <f>SUM($AK$10+$AL$10)</f>
        <v>5059810097.4215994</v>
      </c>
      <c r="AO10" s="15">
        <f t="shared" si="10"/>
        <v>0.53141043022858936</v>
      </c>
      <c r="AP10" s="16"/>
    </row>
    <row r="11" spans="1:42">
      <c r="B11" s="2" t="s">
        <v>30</v>
      </c>
      <c r="C11" t="s">
        <v>25</v>
      </c>
      <c r="D11">
        <v>30827781</v>
      </c>
      <c r="E11">
        <v>32424660.055800002</v>
      </c>
      <c r="F11">
        <f t="shared" si="0"/>
        <v>63252441.055800006</v>
      </c>
      <c r="G11">
        <v>44301626</v>
      </c>
      <c r="H11">
        <v>51478489.412</v>
      </c>
      <c r="I11">
        <f t="shared" si="1"/>
        <v>95780115.412</v>
      </c>
      <c r="J11">
        <v>43020916</v>
      </c>
      <c r="K11">
        <v>48028550.622400001</v>
      </c>
      <c r="L11">
        <f t="shared" si="2"/>
        <v>91049466.622400001</v>
      </c>
      <c r="M11">
        <v>43910266</v>
      </c>
      <c r="N11">
        <v>49636164.686400004</v>
      </c>
      <c r="O11">
        <f t="shared" si="3"/>
        <v>93546430.686399996</v>
      </c>
      <c r="P11">
        <v>43910266</v>
      </c>
      <c r="Q11">
        <v>49636164.686400004</v>
      </c>
      <c r="R11">
        <f t="shared" si="4"/>
        <v>93546430.686399996</v>
      </c>
      <c r="S11">
        <v>44277676</v>
      </c>
      <c r="T11">
        <v>49338614.366800003</v>
      </c>
      <c r="U11">
        <f t="shared" si="5"/>
        <v>93616290.36680001</v>
      </c>
      <c r="V11">
        <v>47786576</v>
      </c>
      <c r="W11">
        <v>52221170.252800003</v>
      </c>
      <c r="X11">
        <f t="shared" si="6"/>
        <v>100007746.2528</v>
      </c>
      <c r="Y11">
        <v>48601701</v>
      </c>
      <c r="Z11">
        <v>54326981.377800003</v>
      </c>
      <c r="AA11">
        <f t="shared" si="7"/>
        <v>102928682.3778</v>
      </c>
      <c r="AB11">
        <v>57341445</v>
      </c>
      <c r="AC11">
        <v>66900263.881499998</v>
      </c>
      <c r="AD11">
        <f t="shared" si="8"/>
        <v>124241708.88150001</v>
      </c>
      <c r="AE11">
        <v>75834830</v>
      </c>
      <c r="AF11">
        <v>96507404.658000007</v>
      </c>
      <c r="AG11">
        <f t="shared" si="9"/>
        <v>172342234.65799999</v>
      </c>
      <c r="AH11">
        <v>104244045</v>
      </c>
      <c r="AI11">
        <v>149631902.19299999</v>
      </c>
      <c r="AJ11">
        <f>SUM($AH$11+$AI$11)</f>
        <v>253875947.19299999</v>
      </c>
      <c r="AK11">
        <v>219535766</v>
      </c>
      <c r="AL11">
        <v>619332349.46259999</v>
      </c>
      <c r="AM11">
        <f>SUM($AK$11+$AL$11)</f>
        <v>838868115.46259999</v>
      </c>
      <c r="AO11" s="15">
        <f t="shared" si="10"/>
        <v>3.8674552533641551</v>
      </c>
      <c r="AP11" s="16"/>
    </row>
    <row r="12" spans="1:42">
      <c r="B12" s="2" t="s">
        <v>28</v>
      </c>
      <c r="C12" t="s">
        <v>26</v>
      </c>
      <c r="D12">
        <v>126656891</v>
      </c>
      <c r="E12">
        <v>369812790.34180003</v>
      </c>
      <c r="F12">
        <f t="shared" si="0"/>
        <v>496469681.34180003</v>
      </c>
      <c r="G12">
        <v>128477891</v>
      </c>
      <c r="H12">
        <v>380024753.78890002</v>
      </c>
      <c r="I12">
        <f t="shared" si="1"/>
        <v>508502644.78890002</v>
      </c>
      <c r="J12">
        <v>120706531</v>
      </c>
      <c r="K12">
        <v>418960298.4479</v>
      </c>
      <c r="L12">
        <f t="shared" si="2"/>
        <v>539666829.44790006</v>
      </c>
      <c r="M12">
        <v>119412436</v>
      </c>
      <c r="N12">
        <v>417609171.17920005</v>
      </c>
      <c r="O12">
        <f t="shared" si="3"/>
        <v>537021607.17920005</v>
      </c>
      <c r="P12">
        <v>127016896</v>
      </c>
      <c r="Q12">
        <v>466799794.4896</v>
      </c>
      <c r="R12">
        <f t="shared" si="4"/>
        <v>593816690.48959994</v>
      </c>
      <c r="S12">
        <v>159199561</v>
      </c>
      <c r="T12">
        <v>642768227.53750002</v>
      </c>
      <c r="U12">
        <f t="shared" si="5"/>
        <v>801967788.53750002</v>
      </c>
      <c r="V12">
        <v>175837971</v>
      </c>
      <c r="W12">
        <v>721410443.62169993</v>
      </c>
      <c r="X12">
        <f t="shared" si="6"/>
        <v>897248414.62169993</v>
      </c>
      <c r="Y12">
        <v>195320271</v>
      </c>
      <c r="Z12">
        <v>803137422.32490003</v>
      </c>
      <c r="AA12">
        <f t="shared" si="7"/>
        <v>998457693.32490003</v>
      </c>
      <c r="AB12">
        <v>225998726</v>
      </c>
      <c r="AC12">
        <v>928470566.02579999</v>
      </c>
      <c r="AD12">
        <f t="shared" si="8"/>
        <v>1154469292.0258</v>
      </c>
      <c r="AE12">
        <v>274122887</v>
      </c>
      <c r="AF12">
        <v>1241502555.223</v>
      </c>
      <c r="AG12">
        <f t="shared" si="9"/>
        <v>1515625442.223</v>
      </c>
      <c r="AH12">
        <v>267481456</v>
      </c>
      <c r="AI12">
        <v>1245527399.8639998</v>
      </c>
      <c r="AJ12">
        <f>SUM($AH$12+$AI$12)</f>
        <v>1513008855.8639998</v>
      </c>
      <c r="AK12">
        <v>321162841</v>
      </c>
      <c r="AL12">
        <v>1613875392.3090999</v>
      </c>
      <c r="AM12">
        <f>SUM($AK$12+$AL$12)</f>
        <v>1935038233.3090999</v>
      </c>
      <c r="AO12" s="15">
        <f t="shared" si="10"/>
        <v>0.27672588451071278</v>
      </c>
      <c r="AP12" s="16"/>
    </row>
    <row r="13" spans="1:42">
      <c r="B13" s="2" t="s">
        <v>95</v>
      </c>
      <c r="C13" t="s">
        <v>94</v>
      </c>
      <c r="D13">
        <v>144648009</v>
      </c>
      <c r="E13">
        <v>596094445.08899999</v>
      </c>
      <c r="F13">
        <f t="shared" si="0"/>
        <v>740742454.08899999</v>
      </c>
      <c r="G13">
        <v>210234519</v>
      </c>
      <c r="H13">
        <v>1063408244.0058</v>
      </c>
      <c r="I13">
        <f t="shared" si="1"/>
        <v>1273642763.0058</v>
      </c>
      <c r="J13">
        <v>247481064</v>
      </c>
      <c r="K13">
        <v>1437221531.0736001</v>
      </c>
      <c r="L13">
        <f t="shared" si="2"/>
        <v>1684702595.0736001</v>
      </c>
      <c r="M13">
        <v>273251348</v>
      </c>
      <c r="N13">
        <v>1770231532.8832002</v>
      </c>
      <c r="O13">
        <f t="shared" si="3"/>
        <v>2043482880.8832002</v>
      </c>
      <c r="P13">
        <v>330740088</v>
      </c>
      <c r="Q13">
        <v>2301487976.3568001</v>
      </c>
      <c r="R13">
        <f t="shared" si="4"/>
        <v>2632228064.3568001</v>
      </c>
      <c r="S13">
        <v>543683638</v>
      </c>
      <c r="T13">
        <v>4283411541.9830003</v>
      </c>
      <c r="U13">
        <f t="shared" si="5"/>
        <v>4827095179.9829998</v>
      </c>
      <c r="V13">
        <v>602618688</v>
      </c>
      <c r="W13">
        <v>4874401781.6255999</v>
      </c>
      <c r="X13">
        <f t="shared" si="6"/>
        <v>5477020469.6255999</v>
      </c>
      <c r="Y13">
        <v>750028696</v>
      </c>
      <c r="Z13">
        <v>6301366089.4440002</v>
      </c>
      <c r="AA13">
        <f t="shared" si="7"/>
        <v>7051394785.4440002</v>
      </c>
      <c r="AB13">
        <v>865212311</v>
      </c>
      <c r="AC13">
        <v>7623385672.2210007</v>
      </c>
      <c r="AD13">
        <f t="shared" si="8"/>
        <v>8488597983.2210007</v>
      </c>
      <c r="AE13">
        <v>1006758834</v>
      </c>
      <c r="AF13">
        <v>9354803085.5279999</v>
      </c>
      <c r="AG13">
        <f t="shared" si="9"/>
        <v>10361561919.528</v>
      </c>
      <c r="AH13">
        <v>1110616144</v>
      </c>
      <c r="AI13">
        <v>10847387878.448</v>
      </c>
      <c r="AJ13">
        <f>SUM($AH$13+$AI$13)</f>
        <v>11958004022.448</v>
      </c>
      <c r="AK13">
        <v>1413342225</v>
      </c>
      <c r="AL13">
        <v>15334197804.360001</v>
      </c>
      <c r="AM13">
        <f>SUM($AK$13+$AL$13)</f>
        <v>16747540029.360001</v>
      </c>
      <c r="AO13" s="15">
        <f t="shared" si="10"/>
        <v>0.61631423519234252</v>
      </c>
      <c r="AP13" s="16"/>
    </row>
    <row r="14" spans="1:42">
      <c r="B14" t="s">
        <v>231</v>
      </c>
      <c r="C14" t="s">
        <v>227</v>
      </c>
      <c r="D14">
        <v>215394330</v>
      </c>
      <c r="E14">
        <v>400504217.20200002</v>
      </c>
      <c r="F14">
        <f t="shared" si="0"/>
        <v>615898547.20200002</v>
      </c>
      <c r="G14">
        <v>215394330</v>
      </c>
      <c r="H14">
        <v>400504217.20200002</v>
      </c>
      <c r="I14">
        <f t="shared" si="1"/>
        <v>615898547.20200002</v>
      </c>
      <c r="J14">
        <v>215394330</v>
      </c>
      <c r="K14">
        <v>400504217.20200002</v>
      </c>
      <c r="L14">
        <f t="shared" si="2"/>
        <v>615898547.20200002</v>
      </c>
      <c r="M14">
        <v>215394330</v>
      </c>
      <c r="N14">
        <v>400504217.20200002</v>
      </c>
      <c r="O14">
        <f t="shared" si="3"/>
        <v>615898547.20200002</v>
      </c>
      <c r="P14">
        <v>215394330</v>
      </c>
      <c r="Q14">
        <v>400504217.20200002</v>
      </c>
      <c r="R14">
        <f t="shared" si="4"/>
        <v>615898547.20200002</v>
      </c>
      <c r="S14">
        <v>215394330</v>
      </c>
      <c r="T14">
        <v>400504217.20200002</v>
      </c>
      <c r="U14">
        <f t="shared" si="5"/>
        <v>615898547.20200002</v>
      </c>
      <c r="V14">
        <v>215394330</v>
      </c>
      <c r="W14">
        <v>400504217.20200002</v>
      </c>
      <c r="X14">
        <f t="shared" si="6"/>
        <v>615898547.20200002</v>
      </c>
      <c r="Y14">
        <v>215394330</v>
      </c>
      <c r="Z14">
        <v>400504217.20200002</v>
      </c>
      <c r="AA14">
        <f t="shared" si="7"/>
        <v>615898547.20200002</v>
      </c>
      <c r="AB14">
        <v>215394330</v>
      </c>
      <c r="AC14">
        <v>400504217.20200002</v>
      </c>
      <c r="AD14">
        <f t="shared" si="8"/>
        <v>615898547.20200002</v>
      </c>
      <c r="AE14">
        <v>257626976</v>
      </c>
      <c r="AF14">
        <v>591176621.82720006</v>
      </c>
      <c r="AG14">
        <f t="shared" si="9"/>
        <v>848803597.82720006</v>
      </c>
      <c r="AH14">
        <v>290521319</v>
      </c>
      <c r="AI14">
        <v>760061874.76779997</v>
      </c>
      <c r="AJ14">
        <f>SUM($AH$14+$AI$14)</f>
        <v>1050583193.7678</v>
      </c>
      <c r="AK14">
        <v>358186789</v>
      </c>
      <c r="AL14">
        <v>1196164781.8655</v>
      </c>
      <c r="AM14">
        <f>SUM($AK$14+$AL$14)</f>
        <v>1554351570.8655</v>
      </c>
      <c r="AO14" s="15">
        <f t="shared" si="10"/>
        <v>0.83122641662263042</v>
      </c>
      <c r="AP14" s="16"/>
    </row>
    <row r="15" spans="1:42">
      <c r="B15" t="s">
        <v>134</v>
      </c>
      <c r="C15" t="s">
        <v>135</v>
      </c>
      <c r="D15">
        <v>178489769</v>
      </c>
      <c r="E15">
        <v>598940268.85640001</v>
      </c>
      <c r="F15">
        <f t="shared" si="0"/>
        <v>777430037.85640001</v>
      </c>
      <c r="G15">
        <v>195693359</v>
      </c>
      <c r="H15">
        <v>693556833.63190007</v>
      </c>
      <c r="I15">
        <f t="shared" si="1"/>
        <v>889250192.63190007</v>
      </c>
      <c r="J15">
        <v>206724694</v>
      </c>
      <c r="K15">
        <v>864274600.67519999</v>
      </c>
      <c r="L15">
        <f t="shared" si="2"/>
        <v>1070999294.6752</v>
      </c>
      <c r="M15">
        <v>206724694</v>
      </c>
      <c r="N15">
        <v>864274600.67519999</v>
      </c>
      <c r="O15">
        <f t="shared" si="3"/>
        <v>1070999294.6752</v>
      </c>
      <c r="P15">
        <v>220171029</v>
      </c>
      <c r="Q15">
        <v>942574192.25190008</v>
      </c>
      <c r="R15">
        <f t="shared" si="4"/>
        <v>1162745221.2519002</v>
      </c>
      <c r="S15">
        <v>259820074</v>
      </c>
      <c r="T15">
        <v>1208319236.1444001</v>
      </c>
      <c r="U15">
        <f t="shared" si="5"/>
        <v>1468139310.1444001</v>
      </c>
      <c r="V15">
        <v>264902344</v>
      </c>
      <c r="W15">
        <v>1231954841.0064001</v>
      </c>
      <c r="X15">
        <f t="shared" si="6"/>
        <v>1496857185.0064001</v>
      </c>
      <c r="Y15">
        <v>283863313</v>
      </c>
      <c r="Z15">
        <v>1339891610.0225999</v>
      </c>
      <c r="AA15">
        <f t="shared" si="7"/>
        <v>1623754923.0225999</v>
      </c>
      <c r="AB15">
        <v>324249559</v>
      </c>
      <c r="AC15">
        <v>1632077730.2705998</v>
      </c>
      <c r="AD15">
        <f t="shared" si="8"/>
        <v>1956327289.2705998</v>
      </c>
      <c r="AE15">
        <v>333088520</v>
      </c>
      <c r="AF15">
        <v>1720835220.8759999</v>
      </c>
      <c r="AG15">
        <f t="shared" si="9"/>
        <v>2053923740.8759999</v>
      </c>
      <c r="AH15">
        <v>341486874</v>
      </c>
      <c r="AI15">
        <v>1776448867.2354002</v>
      </c>
      <c r="AJ15">
        <f>SUM($AH$15+$AI$15)</f>
        <v>2117935741.2354002</v>
      </c>
      <c r="AK15">
        <v>364771270</v>
      </c>
      <c r="AL15">
        <v>2103635914.0900002</v>
      </c>
      <c r="AM15">
        <f>SUM($AK$15+$AL$15)</f>
        <v>2468407184.0900002</v>
      </c>
      <c r="AO15" s="15">
        <f t="shared" si="10"/>
        <v>0.20180079472533041</v>
      </c>
      <c r="AP15" s="16"/>
    </row>
    <row r="16" spans="1:42">
      <c r="B16" s="2" t="s">
        <v>54</v>
      </c>
      <c r="C16" t="s">
        <v>53</v>
      </c>
      <c r="D16">
        <v>28123061</v>
      </c>
      <c r="E16">
        <v>29287355.725400001</v>
      </c>
      <c r="F16">
        <f t="shared" si="0"/>
        <v>57410416.725400001</v>
      </c>
      <c r="G16">
        <v>28123061</v>
      </c>
      <c r="H16">
        <v>29287355.725400001</v>
      </c>
      <c r="I16">
        <f t="shared" si="1"/>
        <v>57410416.725400001</v>
      </c>
      <c r="J16">
        <v>28123061</v>
      </c>
      <c r="K16">
        <v>29287355.725400001</v>
      </c>
      <c r="L16">
        <f t="shared" si="2"/>
        <v>57410416.725400001</v>
      </c>
      <c r="M16">
        <v>28123061</v>
      </c>
      <c r="N16">
        <v>29287355.725400001</v>
      </c>
      <c r="O16">
        <f t="shared" si="3"/>
        <v>57410416.725400001</v>
      </c>
      <c r="P16">
        <v>28123061</v>
      </c>
      <c r="Q16">
        <v>29287355.725400001</v>
      </c>
      <c r="R16">
        <f t="shared" si="4"/>
        <v>57410416.725400001</v>
      </c>
      <c r="S16">
        <v>28123061</v>
      </c>
      <c r="T16">
        <v>29287355.725400001</v>
      </c>
      <c r="U16">
        <f t="shared" si="5"/>
        <v>57410416.725400001</v>
      </c>
      <c r="V16">
        <v>29631626</v>
      </c>
      <c r="W16">
        <v>36355041.939400002</v>
      </c>
      <c r="X16">
        <f t="shared" si="6"/>
        <v>65986667.939400002</v>
      </c>
      <c r="Y16">
        <v>35328199</v>
      </c>
      <c r="Z16">
        <v>45477990.572699994</v>
      </c>
      <c r="AA16">
        <f t="shared" si="7"/>
        <v>80806189.572699994</v>
      </c>
      <c r="AB16">
        <v>55037054</v>
      </c>
      <c r="AC16">
        <v>76198801.262999997</v>
      </c>
      <c r="AD16">
        <f t="shared" si="8"/>
        <v>131235855.263</v>
      </c>
      <c r="AE16">
        <v>66178825</v>
      </c>
      <c r="AF16">
        <v>95793849.1875</v>
      </c>
      <c r="AG16">
        <f t="shared" si="9"/>
        <v>161972674.1875</v>
      </c>
      <c r="AH16">
        <v>71492115</v>
      </c>
      <c r="AI16">
        <v>105601003.06650001</v>
      </c>
      <c r="AJ16">
        <f>SUM($AH$16+$AI$16)</f>
        <v>177093118.06650001</v>
      </c>
      <c r="AK16">
        <v>76968858</v>
      </c>
      <c r="AL16">
        <v>134064356.8644</v>
      </c>
      <c r="AM16">
        <f>SUM($AK$16+$AL$16)</f>
        <v>211033214.8644</v>
      </c>
      <c r="AO16" s="15">
        <f t="shared" si="10"/>
        <v>0.30289393518382846</v>
      </c>
      <c r="AP16" s="16"/>
    </row>
    <row r="17" spans="2:42">
      <c r="B17" t="s">
        <v>6</v>
      </c>
      <c r="C17" t="s">
        <v>4</v>
      </c>
      <c r="D17">
        <v>150860945</v>
      </c>
      <c r="E17">
        <v>529144764.58749998</v>
      </c>
      <c r="F17">
        <f t="shared" si="0"/>
        <v>680005709.58749998</v>
      </c>
      <c r="G17">
        <v>166062440</v>
      </c>
      <c r="H17">
        <v>651529377.09599996</v>
      </c>
      <c r="I17">
        <f t="shared" si="1"/>
        <v>817591817.09599996</v>
      </c>
      <c r="J17">
        <v>162982211</v>
      </c>
      <c r="K17">
        <v>669009379.71280003</v>
      </c>
      <c r="L17">
        <f t="shared" si="2"/>
        <v>831991590.71280003</v>
      </c>
      <c r="M17">
        <v>167264131</v>
      </c>
      <c r="N17">
        <v>703747104.7694</v>
      </c>
      <c r="O17">
        <f t="shared" si="3"/>
        <v>871011235.7694</v>
      </c>
      <c r="P17">
        <v>177098496</v>
      </c>
      <c r="Q17">
        <v>772326541.05599999</v>
      </c>
      <c r="R17">
        <f t="shared" si="4"/>
        <v>949425037.05599999</v>
      </c>
      <c r="S17">
        <v>242589098</v>
      </c>
      <c r="T17">
        <v>1255932278.1656001</v>
      </c>
      <c r="U17">
        <f t="shared" si="5"/>
        <v>1498521376.1656001</v>
      </c>
      <c r="V17">
        <v>304635530</v>
      </c>
      <c r="W17">
        <v>1661695425.4910002</v>
      </c>
      <c r="X17">
        <f t="shared" si="6"/>
        <v>1966330955.4910002</v>
      </c>
      <c r="Y17">
        <v>357782383</v>
      </c>
      <c r="Z17">
        <v>1984189539.6414001</v>
      </c>
      <c r="AA17">
        <f t="shared" si="7"/>
        <v>2341971922.6414003</v>
      </c>
      <c r="AB17">
        <v>444863403</v>
      </c>
      <c r="AC17">
        <v>2604808683.5858998</v>
      </c>
      <c r="AD17">
        <f t="shared" si="8"/>
        <v>3049672086.5858998</v>
      </c>
      <c r="AE17">
        <v>500926369</v>
      </c>
      <c r="AF17">
        <v>3132743419.0890999</v>
      </c>
      <c r="AG17">
        <f t="shared" si="9"/>
        <v>3633669788.0890999</v>
      </c>
      <c r="AH17">
        <v>521025414</v>
      </c>
      <c r="AI17">
        <v>3271622779.5888</v>
      </c>
      <c r="AJ17">
        <f>SUM($AH$17+$AI$17)</f>
        <v>3792648193.5888</v>
      </c>
      <c r="AK17">
        <v>665144549</v>
      </c>
      <c r="AL17">
        <v>4645169986.8513002</v>
      </c>
      <c r="AM17">
        <f>SUM($AK$17+$AL$17)</f>
        <v>5310314535.8513002</v>
      </c>
      <c r="AO17" s="15">
        <f t="shared" si="10"/>
        <v>0.46141912874365132</v>
      </c>
      <c r="AP17" s="16"/>
    </row>
    <row r="18" spans="2:42">
      <c r="B18" s="2" t="s">
        <v>22</v>
      </c>
      <c r="C18" t="s">
        <v>17</v>
      </c>
      <c r="D18">
        <v>28150138</v>
      </c>
      <c r="E18">
        <v>28870781.5328</v>
      </c>
      <c r="F18">
        <f t="shared" si="0"/>
        <v>57020919.532800004</v>
      </c>
      <c r="G18">
        <v>31279675</v>
      </c>
      <c r="H18">
        <v>34004134.692499995</v>
      </c>
      <c r="I18">
        <f t="shared" si="1"/>
        <v>65283809.692499995</v>
      </c>
      <c r="J18">
        <v>39995340</v>
      </c>
      <c r="K18">
        <v>65772336.629999995</v>
      </c>
      <c r="L18">
        <f t="shared" si="2"/>
        <v>105767676.63</v>
      </c>
      <c r="M18">
        <v>40084665</v>
      </c>
      <c r="N18">
        <v>66139697.25</v>
      </c>
      <c r="O18">
        <f t="shared" si="3"/>
        <v>106224362.25</v>
      </c>
      <c r="P18">
        <v>64607015</v>
      </c>
      <c r="Q18">
        <v>115737006.67099999</v>
      </c>
      <c r="R18">
        <f t="shared" si="4"/>
        <v>180344021.671</v>
      </c>
      <c r="S18">
        <v>81396820</v>
      </c>
      <c r="T18">
        <v>173236852.00600001</v>
      </c>
      <c r="U18">
        <f t="shared" si="5"/>
        <v>254633672.00600001</v>
      </c>
      <c r="V18">
        <v>94661260</v>
      </c>
      <c r="W18">
        <v>203171462.338</v>
      </c>
      <c r="X18">
        <f t="shared" si="6"/>
        <v>297832722.338</v>
      </c>
      <c r="Y18">
        <v>118741225</v>
      </c>
      <c r="Z18">
        <v>272309251.29250002</v>
      </c>
      <c r="AA18">
        <f t="shared" si="7"/>
        <v>391050476.29250002</v>
      </c>
      <c r="AB18">
        <v>139165210</v>
      </c>
      <c r="AC18">
        <v>321847381.167</v>
      </c>
      <c r="AD18">
        <f t="shared" si="8"/>
        <v>461012591.167</v>
      </c>
      <c r="AE18">
        <v>155731901</v>
      </c>
      <c r="AF18">
        <v>390871498.31990004</v>
      </c>
      <c r="AG18">
        <f t="shared" si="9"/>
        <v>546603399.31990004</v>
      </c>
      <c r="AH18">
        <v>157057050</v>
      </c>
      <c r="AI18">
        <v>442586766.90000004</v>
      </c>
      <c r="AJ18">
        <f>SUM($AH$18+$AI$18)</f>
        <v>599643816.9000001</v>
      </c>
      <c r="AK18">
        <v>183565800</v>
      </c>
      <c r="AL18">
        <v>562280401.98000002</v>
      </c>
      <c r="AM18">
        <f>SUM($AK$18+$AL$18)</f>
        <v>745846201.98000002</v>
      </c>
      <c r="AO18" s="15">
        <f t="shared" si="10"/>
        <v>0.36451072735369694</v>
      </c>
      <c r="AP18" s="16"/>
    </row>
    <row r="19" spans="2:42">
      <c r="B19" s="1" t="s">
        <v>5</v>
      </c>
      <c r="C19" t="s">
        <v>3</v>
      </c>
      <c r="D19">
        <v>416679587</v>
      </c>
      <c r="E19">
        <v>2696250271.5596004</v>
      </c>
      <c r="F19">
        <f t="shared" si="0"/>
        <v>3112929858.5596004</v>
      </c>
      <c r="G19">
        <v>427931697</v>
      </c>
      <c r="H19">
        <v>2841723227.0981998</v>
      </c>
      <c r="I19">
        <f t="shared" si="1"/>
        <v>3269654924.0981998</v>
      </c>
      <c r="J19">
        <v>446109417</v>
      </c>
      <c r="K19">
        <v>3027387725.6454</v>
      </c>
      <c r="L19">
        <f t="shared" si="2"/>
        <v>3473497142.6454</v>
      </c>
      <c r="M19">
        <v>444271037</v>
      </c>
      <c r="N19">
        <v>3024019667.5478997</v>
      </c>
      <c r="O19">
        <f t="shared" si="3"/>
        <v>3468290704.5478997</v>
      </c>
      <c r="P19">
        <v>476908092</v>
      </c>
      <c r="Q19">
        <v>3320377208.9316001</v>
      </c>
      <c r="R19">
        <f t="shared" si="4"/>
        <v>3797285300.9316001</v>
      </c>
      <c r="S19">
        <v>577652774</v>
      </c>
      <c r="T19">
        <v>4600080100.4716005</v>
      </c>
      <c r="U19">
        <f t="shared" si="5"/>
        <v>5177732874.4716005</v>
      </c>
      <c r="V19">
        <v>704885416</v>
      </c>
      <c r="W19">
        <v>6020637803.6808004</v>
      </c>
      <c r="X19">
        <f t="shared" si="6"/>
        <v>6725523219.6808004</v>
      </c>
      <c r="Y19">
        <v>813341926</v>
      </c>
      <c r="Z19">
        <v>7349926982.6841993</v>
      </c>
      <c r="AA19">
        <f t="shared" si="7"/>
        <v>8163268908.6841993</v>
      </c>
      <c r="AB19">
        <v>926836931</v>
      </c>
      <c r="AC19">
        <v>8768155418.3393002</v>
      </c>
      <c r="AD19">
        <f t="shared" si="8"/>
        <v>9694992349.3393002</v>
      </c>
      <c r="AE19">
        <v>993907837</v>
      </c>
      <c r="AF19">
        <v>9437453084.6660995</v>
      </c>
      <c r="AG19">
        <f t="shared" si="9"/>
        <v>10431360921.6661</v>
      </c>
      <c r="AH19">
        <v>1020918302</v>
      </c>
      <c r="AI19">
        <v>9977434565.4459991</v>
      </c>
      <c r="AJ19">
        <f>SUM($AH$19+$AI$19)</f>
        <v>10998352867.445999</v>
      </c>
      <c r="AK19">
        <v>1195340762</v>
      </c>
      <c r="AL19">
        <v>12908245820.685602</v>
      </c>
      <c r="AM19">
        <f>SUM($AK$19+$AL$19)</f>
        <v>14103586582.685602</v>
      </c>
      <c r="AO19" s="15">
        <f t="shared" si="10"/>
        <v>0.35203706291019343</v>
      </c>
      <c r="AP19" s="16"/>
    </row>
    <row r="20" spans="2:42">
      <c r="B20" t="s">
        <v>138</v>
      </c>
      <c r="C20" t="s">
        <v>139</v>
      </c>
      <c r="D20">
        <v>82423174</v>
      </c>
      <c r="E20">
        <v>225138899.78099999</v>
      </c>
      <c r="F20">
        <f t="shared" si="0"/>
        <v>307562073.78100002</v>
      </c>
      <c r="G20">
        <v>84709434</v>
      </c>
      <c r="H20">
        <v>235026324.63299999</v>
      </c>
      <c r="I20">
        <f t="shared" si="1"/>
        <v>319735758.63300002</v>
      </c>
      <c r="J20">
        <v>102511899</v>
      </c>
      <c r="K20">
        <v>354691170.54000002</v>
      </c>
      <c r="L20">
        <f t="shared" si="2"/>
        <v>457203069.54000002</v>
      </c>
      <c r="M20">
        <v>108641649</v>
      </c>
      <c r="N20">
        <v>384569709.13020003</v>
      </c>
      <c r="O20">
        <f t="shared" si="3"/>
        <v>493211358.13020003</v>
      </c>
      <c r="P20">
        <v>135675964</v>
      </c>
      <c r="Q20">
        <v>509951678.29040003</v>
      </c>
      <c r="R20">
        <f t="shared" si="4"/>
        <v>645627642.29040003</v>
      </c>
      <c r="S20">
        <v>190586089</v>
      </c>
      <c r="T20">
        <v>830593234.47090006</v>
      </c>
      <c r="U20">
        <f t="shared" si="5"/>
        <v>1021179323.4709001</v>
      </c>
      <c r="V20">
        <v>225902569</v>
      </c>
      <c r="W20">
        <v>1008677560.8419</v>
      </c>
      <c r="X20">
        <f t="shared" si="6"/>
        <v>1234580129.8418999</v>
      </c>
      <c r="Y20">
        <v>327364886</v>
      </c>
      <c r="Z20">
        <v>1568306959.3601999</v>
      </c>
      <c r="AA20">
        <f t="shared" si="7"/>
        <v>1895671845.3601999</v>
      </c>
      <c r="AB20">
        <v>415758706</v>
      </c>
      <c r="AC20">
        <v>2145023891.8657999</v>
      </c>
      <c r="AD20">
        <f t="shared" si="8"/>
        <v>2560782597.8657999</v>
      </c>
      <c r="AE20">
        <v>478506223</v>
      </c>
      <c r="AF20">
        <v>2632501985.8344998</v>
      </c>
      <c r="AG20">
        <f t="shared" si="9"/>
        <v>3111008208.8344998</v>
      </c>
      <c r="AH20">
        <v>524625858</v>
      </c>
      <c r="AI20">
        <v>2973002274.7002001</v>
      </c>
      <c r="AJ20">
        <f>SUM($AH$20+$AI$20)</f>
        <v>3497628132.7002001</v>
      </c>
      <c r="AK20">
        <v>663783307</v>
      </c>
      <c r="AL20">
        <v>4254187214.5629997</v>
      </c>
      <c r="AM20">
        <f>SUM($AK$20+$AL$20)</f>
        <v>4917970521.5629997</v>
      </c>
      <c r="AO20" s="15">
        <f t="shared" si="10"/>
        <v>0.58082852613412284</v>
      </c>
      <c r="AP20" s="16"/>
    </row>
    <row r="21" spans="2:42">
      <c r="B21" s="2" t="s">
        <v>31</v>
      </c>
      <c r="C21" t="s">
        <v>32</v>
      </c>
      <c r="D21">
        <v>473268357</v>
      </c>
      <c r="E21">
        <v>3994952855.1083999</v>
      </c>
      <c r="F21">
        <f t="shared" si="0"/>
        <v>4468221212.1084003</v>
      </c>
      <c r="G21">
        <v>481260857</v>
      </c>
      <c r="H21">
        <v>4101882536.3824</v>
      </c>
      <c r="I21">
        <f t="shared" si="1"/>
        <v>4583143393.3824005</v>
      </c>
      <c r="J21">
        <v>502900097</v>
      </c>
      <c r="K21">
        <v>4467814751.7577</v>
      </c>
      <c r="L21">
        <f t="shared" si="2"/>
        <v>4970714848.7577</v>
      </c>
      <c r="M21">
        <v>536486362</v>
      </c>
      <c r="N21">
        <v>4887927244.1820002</v>
      </c>
      <c r="O21">
        <f t="shared" si="3"/>
        <v>5424413606.1820002</v>
      </c>
      <c r="P21">
        <v>551691757</v>
      </c>
      <c r="Q21">
        <v>5086046307.783</v>
      </c>
      <c r="R21">
        <f t="shared" si="4"/>
        <v>5637738064.783</v>
      </c>
      <c r="S21">
        <v>684655622</v>
      </c>
      <c r="T21">
        <v>6913515539.8316002</v>
      </c>
      <c r="U21">
        <f t="shared" si="5"/>
        <v>7598171161.8316002</v>
      </c>
      <c r="V21">
        <v>713186857</v>
      </c>
      <c r="W21">
        <v>7311520339.2783003</v>
      </c>
      <c r="X21">
        <f t="shared" si="6"/>
        <v>8024707196.2783003</v>
      </c>
      <c r="Y21">
        <v>783452552</v>
      </c>
      <c r="Z21">
        <v>8328100627.7600002</v>
      </c>
      <c r="AA21">
        <f t="shared" si="7"/>
        <v>9111553179.7600002</v>
      </c>
      <c r="AB21">
        <v>916587347</v>
      </c>
      <c r="AC21">
        <v>9999601320.8311996</v>
      </c>
      <c r="AD21">
        <f t="shared" si="8"/>
        <v>10916188667.8312</v>
      </c>
      <c r="AE21">
        <v>1072231098</v>
      </c>
      <c r="AF21">
        <v>12199845433.043999</v>
      </c>
      <c r="AG21">
        <f t="shared" si="9"/>
        <v>13272076531.043999</v>
      </c>
      <c r="AH21">
        <v>1115559358</v>
      </c>
      <c r="AI21">
        <v>12860726058.702999</v>
      </c>
      <c r="AJ21">
        <f>SUM($AH$21+$AI$21)</f>
        <v>13976285416.702999</v>
      </c>
      <c r="AK21">
        <v>1435159068</v>
      </c>
      <c r="AL21">
        <v>18232547831.6856</v>
      </c>
      <c r="AM21">
        <f>SUM($AK$21+$AL$21)</f>
        <v>19667706899.6856</v>
      </c>
      <c r="AO21" s="15">
        <f t="shared" si="10"/>
        <v>0.48188618816972073</v>
      </c>
      <c r="AP21" s="16"/>
    </row>
    <row r="22" spans="2:42">
      <c r="B22" s="3" t="s">
        <v>90</v>
      </c>
      <c r="C22" t="s">
        <v>88</v>
      </c>
      <c r="D22">
        <v>137664626</v>
      </c>
      <c r="E22">
        <v>598083967.65699995</v>
      </c>
      <c r="F22">
        <f t="shared" si="0"/>
        <v>735748593.65699995</v>
      </c>
      <c r="G22">
        <v>142205626</v>
      </c>
      <c r="H22">
        <v>624567109.39199996</v>
      </c>
      <c r="I22">
        <f t="shared" si="1"/>
        <v>766772735.39199996</v>
      </c>
      <c r="J22">
        <v>142433976</v>
      </c>
      <c r="K22">
        <v>624174169.62720001</v>
      </c>
      <c r="L22">
        <f t="shared" si="2"/>
        <v>766608145.62720001</v>
      </c>
      <c r="M22">
        <v>141972976</v>
      </c>
      <c r="N22">
        <v>623147786.25919998</v>
      </c>
      <c r="O22">
        <f t="shared" si="3"/>
        <v>765120762.25919998</v>
      </c>
      <c r="P22">
        <v>149805371</v>
      </c>
      <c r="Q22">
        <v>668746156.68110001</v>
      </c>
      <c r="R22">
        <f t="shared" si="4"/>
        <v>818551527.68110001</v>
      </c>
      <c r="S22">
        <v>184472796</v>
      </c>
      <c r="T22">
        <v>960457612.37399995</v>
      </c>
      <c r="U22">
        <f t="shared" si="5"/>
        <v>1144930408.3740001</v>
      </c>
      <c r="V22">
        <v>208759125</v>
      </c>
      <c r="W22">
        <v>1076278544.8499999</v>
      </c>
      <c r="X22">
        <f t="shared" si="6"/>
        <v>1285037669.8499999</v>
      </c>
      <c r="Y22">
        <v>321295598</v>
      </c>
      <c r="Z22">
        <v>1754370353.7593999</v>
      </c>
      <c r="AA22">
        <f t="shared" si="7"/>
        <v>2075665951.7593999</v>
      </c>
      <c r="AB22">
        <v>398112258</v>
      </c>
      <c r="AC22">
        <v>2321312953.9464002</v>
      </c>
      <c r="AD22">
        <f t="shared" si="8"/>
        <v>2719425211.9464002</v>
      </c>
      <c r="AE22">
        <v>499925149</v>
      </c>
      <c r="AF22">
        <v>3142229531.5246</v>
      </c>
      <c r="AG22">
        <f t="shared" si="9"/>
        <v>3642154680.5246</v>
      </c>
      <c r="AH22">
        <v>530154172</v>
      </c>
      <c r="AI22">
        <v>3380422046.9236002</v>
      </c>
      <c r="AJ22">
        <f>SUM($AH$22+$AI$22)</f>
        <v>3910576218.9236002</v>
      </c>
      <c r="AK22">
        <v>687574594</v>
      </c>
      <c r="AL22">
        <v>4743233336.7090006</v>
      </c>
      <c r="AM22">
        <f>SUM($AK$22+$AL$22)</f>
        <v>5430807930.7090006</v>
      </c>
      <c r="AO22" s="15">
        <f t="shared" si="10"/>
        <v>0.4910975527065673</v>
      </c>
      <c r="AP22" s="16"/>
    </row>
    <row r="23" spans="2:42">
      <c r="B23" t="s">
        <v>116</v>
      </c>
      <c r="C23" t="s">
        <v>117</v>
      </c>
      <c r="D23">
        <v>64480061</v>
      </c>
      <c r="E23">
        <v>129243834.2684</v>
      </c>
      <c r="F23">
        <f t="shared" si="0"/>
        <v>193723895.26840001</v>
      </c>
      <c r="G23">
        <v>69988181</v>
      </c>
      <c r="H23">
        <v>143860706.04550001</v>
      </c>
      <c r="I23">
        <f t="shared" si="1"/>
        <v>213848887.04550001</v>
      </c>
      <c r="J23">
        <v>61428476</v>
      </c>
      <c r="K23">
        <v>145524059.64399999</v>
      </c>
      <c r="L23">
        <f t="shared" si="2"/>
        <v>206952535.64399999</v>
      </c>
      <c r="M23">
        <v>64418726</v>
      </c>
      <c r="N23">
        <v>154540523.67399999</v>
      </c>
      <c r="O23">
        <f t="shared" si="3"/>
        <v>218959249.67399999</v>
      </c>
      <c r="P23">
        <v>72715726</v>
      </c>
      <c r="Q23">
        <v>178080812.97400001</v>
      </c>
      <c r="R23">
        <f t="shared" si="4"/>
        <v>250796538.97400001</v>
      </c>
      <c r="S23">
        <v>131899711</v>
      </c>
      <c r="T23">
        <v>409548602.65499997</v>
      </c>
      <c r="U23">
        <f t="shared" si="5"/>
        <v>541448313.65499997</v>
      </c>
      <c r="V23">
        <v>154309161</v>
      </c>
      <c r="W23">
        <v>491551832.36550003</v>
      </c>
      <c r="X23">
        <f t="shared" si="6"/>
        <v>645860993.36549997</v>
      </c>
      <c r="Y23">
        <v>193864959</v>
      </c>
      <c r="Z23">
        <v>637873874.5977</v>
      </c>
      <c r="AA23">
        <f t="shared" si="7"/>
        <v>831738833.5977</v>
      </c>
      <c r="AB23">
        <v>237595139</v>
      </c>
      <c r="AC23">
        <v>824407613.30220008</v>
      </c>
      <c r="AD23">
        <f t="shared" si="8"/>
        <v>1062002752.3022001</v>
      </c>
      <c r="AE23">
        <v>268834485</v>
      </c>
      <c r="AF23">
        <v>1006032409.7670001</v>
      </c>
      <c r="AG23">
        <f t="shared" si="9"/>
        <v>1274866894.7670002</v>
      </c>
      <c r="AH23">
        <v>287860505</v>
      </c>
      <c r="AI23">
        <v>1112149061.0675001</v>
      </c>
      <c r="AJ23">
        <f>SUM($AH$23+$AI$23)</f>
        <v>1400009566.0675001</v>
      </c>
      <c r="AK23">
        <v>336391190</v>
      </c>
      <c r="AL23">
        <v>1394509678.145</v>
      </c>
      <c r="AM23">
        <f>SUM($AK$23+$AL$23)</f>
        <v>1730900868.145</v>
      </c>
      <c r="AO23" s="15">
        <f t="shared" si="10"/>
        <v>0.35771104830622047</v>
      </c>
      <c r="AP23" s="16"/>
    </row>
    <row r="24" spans="2:42">
      <c r="B24" s="1" t="s">
        <v>171</v>
      </c>
      <c r="C24" t="s">
        <v>172</v>
      </c>
      <c r="D24">
        <v>190871958</v>
      </c>
      <c r="E24">
        <v>848540376.48479998</v>
      </c>
      <c r="F24">
        <f t="shared" si="0"/>
        <v>1039412334.4848</v>
      </c>
      <c r="G24">
        <v>190871958</v>
      </c>
      <c r="H24">
        <v>848540376.48479998</v>
      </c>
      <c r="I24">
        <f t="shared" si="1"/>
        <v>1039412334.4848</v>
      </c>
      <c r="J24">
        <v>190871958</v>
      </c>
      <c r="K24">
        <v>848540376.48479998</v>
      </c>
      <c r="L24">
        <f t="shared" si="2"/>
        <v>1039412334.4848</v>
      </c>
      <c r="M24">
        <v>190871958</v>
      </c>
      <c r="N24">
        <v>848540376.48479998</v>
      </c>
      <c r="O24">
        <f t="shared" si="3"/>
        <v>1039412334.4848</v>
      </c>
      <c r="P24">
        <v>190871958</v>
      </c>
      <c r="Q24">
        <v>848540376.48479998</v>
      </c>
      <c r="R24">
        <f t="shared" si="4"/>
        <v>1039412334.4848</v>
      </c>
      <c r="S24">
        <v>236439002</v>
      </c>
      <c r="T24">
        <v>1135049073.0012</v>
      </c>
      <c r="U24">
        <f t="shared" si="5"/>
        <v>1371488075.0012</v>
      </c>
      <c r="V24">
        <v>270084962</v>
      </c>
      <c r="W24">
        <v>1342970465.0488</v>
      </c>
      <c r="X24">
        <f t="shared" si="6"/>
        <v>1613055427.0488</v>
      </c>
      <c r="Y24">
        <v>351370430</v>
      </c>
      <c r="Z24">
        <v>1842656809.0059998</v>
      </c>
      <c r="AA24">
        <f t="shared" si="7"/>
        <v>2194027239.0059996</v>
      </c>
      <c r="AB24">
        <v>428707757</v>
      </c>
      <c r="AC24">
        <v>2421298540.7602997</v>
      </c>
      <c r="AD24">
        <f t="shared" si="8"/>
        <v>2850006297.7602997</v>
      </c>
      <c r="AE24">
        <v>513106208</v>
      </c>
      <c r="AF24">
        <v>3165916613.9808002</v>
      </c>
      <c r="AG24">
        <f t="shared" si="9"/>
        <v>3679022821.9808002</v>
      </c>
      <c r="AH24">
        <v>554490758</v>
      </c>
      <c r="AI24">
        <v>3507763984.1838002</v>
      </c>
      <c r="AJ24">
        <f>SUM($AH$24+$AI$24)</f>
        <v>4062254742.1838002</v>
      </c>
      <c r="AK24">
        <v>622142433</v>
      </c>
      <c r="AL24">
        <v>4133016610.9056005</v>
      </c>
      <c r="AM24">
        <f>SUM($AK$24+$AL$24)</f>
        <v>4755159043.9056005</v>
      </c>
      <c r="AO24" s="15">
        <f t="shared" si="10"/>
        <v>0.29250599248672349</v>
      </c>
      <c r="AP24" s="16"/>
    </row>
    <row r="25" spans="2:42">
      <c r="B25" s="2" t="s">
        <v>50</v>
      </c>
      <c r="C25" t="s">
        <v>49</v>
      </c>
      <c r="D25">
        <v>153450336</v>
      </c>
      <c r="E25">
        <v>647990078.86079991</v>
      </c>
      <c r="F25">
        <f t="shared" si="0"/>
        <v>801440414.86079991</v>
      </c>
      <c r="G25">
        <v>173467026</v>
      </c>
      <c r="H25">
        <v>787748458.47119999</v>
      </c>
      <c r="I25">
        <f t="shared" si="1"/>
        <v>961215484.47119999</v>
      </c>
      <c r="J25">
        <v>174579646</v>
      </c>
      <c r="K25">
        <v>861969544.16040003</v>
      </c>
      <c r="L25">
        <f t="shared" si="2"/>
        <v>1036549190.1604</v>
      </c>
      <c r="M25">
        <v>178145581</v>
      </c>
      <c r="N25">
        <v>894326445.73619998</v>
      </c>
      <c r="O25">
        <f t="shared" si="3"/>
        <v>1072472026.7362</v>
      </c>
      <c r="P25">
        <v>230968436</v>
      </c>
      <c r="Q25">
        <v>1244481030.0115998</v>
      </c>
      <c r="R25">
        <f t="shared" si="4"/>
        <v>1475449466.0115998</v>
      </c>
      <c r="S25">
        <v>328291260</v>
      </c>
      <c r="T25">
        <v>2044072701.2639999</v>
      </c>
      <c r="U25">
        <f t="shared" si="5"/>
        <v>2372363961.2639999</v>
      </c>
      <c r="V25">
        <v>425644700</v>
      </c>
      <c r="W25">
        <v>2745408315</v>
      </c>
      <c r="X25">
        <f t="shared" si="6"/>
        <v>3171053015</v>
      </c>
      <c r="Y25">
        <v>511274083</v>
      </c>
      <c r="Z25">
        <v>3382640460.5363002</v>
      </c>
      <c r="AA25">
        <f t="shared" si="7"/>
        <v>3893914543.5363002</v>
      </c>
      <c r="AB25">
        <v>655164573</v>
      </c>
      <c r="AC25">
        <v>4646099569.4294996</v>
      </c>
      <c r="AD25">
        <f t="shared" si="8"/>
        <v>5301264142.4294996</v>
      </c>
      <c r="AE25">
        <v>733390224</v>
      </c>
      <c r="AF25">
        <v>5504827021.3439999</v>
      </c>
      <c r="AG25">
        <f t="shared" si="9"/>
        <v>6238217245.3439999</v>
      </c>
      <c r="AH25">
        <v>793375859</v>
      </c>
      <c r="AI25">
        <v>6140094447.9727993</v>
      </c>
      <c r="AJ25">
        <f>SUM($AH$25+$AI$25)</f>
        <v>6933470306.9727993</v>
      </c>
      <c r="AK25">
        <v>961658698</v>
      </c>
      <c r="AL25">
        <v>8072836272.1006002</v>
      </c>
      <c r="AM25">
        <f>SUM($AK$25+$AL$25)</f>
        <v>9034494970.1006012</v>
      </c>
      <c r="AO25" s="15">
        <f t="shared" si="10"/>
        <v>0.44824949417137572</v>
      </c>
      <c r="AP25" s="16"/>
    </row>
    <row r="26" spans="2:42">
      <c r="B26" s="2" t="s">
        <v>36</v>
      </c>
      <c r="C26" t="s">
        <v>35</v>
      </c>
      <c r="D26">
        <v>23734190</v>
      </c>
      <c r="E26">
        <v>14648742.068</v>
      </c>
      <c r="F26">
        <f t="shared" si="0"/>
        <v>38382932.068000004</v>
      </c>
      <c r="G26">
        <v>32232290</v>
      </c>
      <c r="H26">
        <v>27710099.713</v>
      </c>
      <c r="I26">
        <f t="shared" si="1"/>
        <v>59942389.713</v>
      </c>
      <c r="J26">
        <v>48482069</v>
      </c>
      <c r="K26">
        <v>55191987.349600002</v>
      </c>
      <c r="L26">
        <f t="shared" si="2"/>
        <v>103674056.3496</v>
      </c>
      <c r="M26">
        <v>54536519</v>
      </c>
      <c r="N26">
        <v>69986714.832700014</v>
      </c>
      <c r="O26">
        <f t="shared" si="3"/>
        <v>124523233.83270001</v>
      </c>
      <c r="P26">
        <v>63934399</v>
      </c>
      <c r="Q26">
        <v>96540942.489999995</v>
      </c>
      <c r="R26">
        <f t="shared" si="4"/>
        <v>160475341.49000001</v>
      </c>
      <c r="S26">
        <v>100491600</v>
      </c>
      <c r="T26">
        <v>207505104.84</v>
      </c>
      <c r="U26">
        <f t="shared" si="5"/>
        <v>307996704.84000003</v>
      </c>
      <c r="V26">
        <v>116719990</v>
      </c>
      <c r="W26">
        <v>259842041.73800001</v>
      </c>
      <c r="X26">
        <f t="shared" si="6"/>
        <v>376562031.73800004</v>
      </c>
      <c r="Y26">
        <v>128576113</v>
      </c>
      <c r="Z26">
        <v>299093754.06059998</v>
      </c>
      <c r="AA26">
        <f t="shared" si="7"/>
        <v>427669867.06059998</v>
      </c>
      <c r="AB26">
        <v>153274103</v>
      </c>
      <c r="AC26">
        <v>373314405.26679999</v>
      </c>
      <c r="AD26">
        <f t="shared" si="8"/>
        <v>526588508.26679999</v>
      </c>
      <c r="AE26">
        <v>179258253</v>
      </c>
      <c r="AF26">
        <v>500112600.04470003</v>
      </c>
      <c r="AG26">
        <f t="shared" si="9"/>
        <v>679370853.04470003</v>
      </c>
      <c r="AH26">
        <v>186334603</v>
      </c>
      <c r="AI26">
        <v>541302021.71500003</v>
      </c>
      <c r="AJ26">
        <f>SUM($AH$26+$AI$26)</f>
        <v>727636624.71500003</v>
      </c>
      <c r="AK26">
        <v>196876493</v>
      </c>
      <c r="AL26">
        <v>612325268.52859998</v>
      </c>
      <c r="AM26">
        <f>SUM($AK$26+$AL$26)</f>
        <v>809201761.52859998</v>
      </c>
      <c r="AO26" s="15">
        <f t="shared" si="10"/>
        <v>0.19110461966692238</v>
      </c>
      <c r="AP26" s="16"/>
    </row>
    <row r="27" spans="2:42">
      <c r="B27" s="2" t="s">
        <v>64</v>
      </c>
      <c r="C27" t="s">
        <v>63</v>
      </c>
      <c r="D27">
        <v>81891051</v>
      </c>
      <c r="E27">
        <v>100087242.53219999</v>
      </c>
      <c r="F27">
        <f t="shared" si="0"/>
        <v>181978293.53219998</v>
      </c>
      <c r="G27">
        <v>97825641</v>
      </c>
      <c r="H27">
        <v>141299355.86039999</v>
      </c>
      <c r="I27">
        <f t="shared" si="1"/>
        <v>239124996.86039999</v>
      </c>
      <c r="J27">
        <v>106017662</v>
      </c>
      <c r="K27">
        <v>184767581.33360001</v>
      </c>
      <c r="L27">
        <f t="shared" si="2"/>
        <v>290785243.33360004</v>
      </c>
      <c r="M27">
        <v>112235896</v>
      </c>
      <c r="N27">
        <v>204628485.58719999</v>
      </c>
      <c r="O27">
        <f t="shared" si="3"/>
        <v>316864381.58719999</v>
      </c>
      <c r="P27">
        <v>123838016</v>
      </c>
      <c r="Q27">
        <v>248319989.6832</v>
      </c>
      <c r="R27">
        <f t="shared" si="4"/>
        <v>372158005.6832</v>
      </c>
      <c r="S27">
        <v>162630452</v>
      </c>
      <c r="T27">
        <v>405177508.1128</v>
      </c>
      <c r="U27">
        <f t="shared" si="5"/>
        <v>567807960.1128</v>
      </c>
      <c r="V27">
        <v>203826049</v>
      </c>
      <c r="W27">
        <v>548883167.35210001</v>
      </c>
      <c r="X27">
        <f t="shared" si="6"/>
        <v>752709216.35210001</v>
      </c>
      <c r="Y27">
        <v>283835903</v>
      </c>
      <c r="Z27">
        <v>881509163.94709992</v>
      </c>
      <c r="AA27">
        <f t="shared" si="7"/>
        <v>1165345066.9470999</v>
      </c>
      <c r="AB27">
        <v>364660468</v>
      </c>
      <c r="AC27">
        <v>1253848553.1711998</v>
      </c>
      <c r="AD27">
        <f t="shared" si="8"/>
        <v>1618509021.1711998</v>
      </c>
      <c r="AE27">
        <v>404470245</v>
      </c>
      <c r="AF27">
        <v>1580750611.5090001</v>
      </c>
      <c r="AG27">
        <f t="shared" si="9"/>
        <v>1985220856.5090001</v>
      </c>
      <c r="AH27">
        <v>428502855</v>
      </c>
      <c r="AI27">
        <v>1757504459.7824998</v>
      </c>
      <c r="AJ27">
        <f>SUM($AH$27+$AI$27)</f>
        <v>2186007314.7824998</v>
      </c>
      <c r="AK27">
        <v>518381093</v>
      </c>
      <c r="AL27">
        <v>2427941525.2841001</v>
      </c>
      <c r="AM27">
        <f>SUM($AK$27+$AL$27)</f>
        <v>2946322618.2841001</v>
      </c>
      <c r="AO27" s="15">
        <f t="shared" si="10"/>
        <v>0.48412838230260791</v>
      </c>
      <c r="AP27" s="16"/>
    </row>
    <row r="28" spans="2:42">
      <c r="B28" t="s">
        <v>147</v>
      </c>
      <c r="C28" t="s">
        <v>148</v>
      </c>
      <c r="D28">
        <v>68506270</v>
      </c>
      <c r="E28">
        <v>86667282.177000001</v>
      </c>
      <c r="F28">
        <f t="shared" si="0"/>
        <v>155173552.17699999</v>
      </c>
      <c r="G28">
        <v>93880825</v>
      </c>
      <c r="H28">
        <v>152180817.32499999</v>
      </c>
      <c r="I28">
        <f t="shared" si="1"/>
        <v>246061642.32499999</v>
      </c>
      <c r="J28">
        <v>94175645</v>
      </c>
      <c r="K28">
        <v>187089336.35699999</v>
      </c>
      <c r="L28">
        <f t="shared" si="2"/>
        <v>281264981.35699999</v>
      </c>
      <c r="M28">
        <v>100761685</v>
      </c>
      <c r="N28">
        <v>208355012.243</v>
      </c>
      <c r="O28">
        <f t="shared" si="3"/>
        <v>309116697.24300003</v>
      </c>
      <c r="P28">
        <v>105033685</v>
      </c>
      <c r="Q28">
        <v>234781796.08050001</v>
      </c>
      <c r="R28">
        <f t="shared" si="4"/>
        <v>339815481.08050001</v>
      </c>
      <c r="S28">
        <v>138926486</v>
      </c>
      <c r="T28">
        <v>397093574.93379998</v>
      </c>
      <c r="U28">
        <f t="shared" si="5"/>
        <v>536020060.93379998</v>
      </c>
      <c r="V28">
        <v>145211791</v>
      </c>
      <c r="W28">
        <v>428519995.24100006</v>
      </c>
      <c r="X28">
        <f t="shared" si="6"/>
        <v>573731786.24100006</v>
      </c>
      <c r="Y28">
        <v>242430469</v>
      </c>
      <c r="Z28">
        <v>836069958.44029999</v>
      </c>
      <c r="AA28">
        <f t="shared" si="7"/>
        <v>1078500427.4403</v>
      </c>
      <c r="AB28">
        <v>325639269</v>
      </c>
      <c r="AC28">
        <v>1314345217.5378001</v>
      </c>
      <c r="AD28">
        <f t="shared" si="8"/>
        <v>1639984486.5378001</v>
      </c>
      <c r="AE28">
        <v>370223829</v>
      </c>
      <c r="AF28">
        <v>1703288770.0803001</v>
      </c>
      <c r="AG28">
        <f t="shared" si="9"/>
        <v>2073512599.0803001</v>
      </c>
      <c r="AH28">
        <v>382543754</v>
      </c>
      <c r="AI28">
        <v>1797420082.5444</v>
      </c>
      <c r="AJ28">
        <f>SUM($AH$28+$AI$28)</f>
        <v>2179963836.5444002</v>
      </c>
      <c r="AK28">
        <v>488775028</v>
      </c>
      <c r="AL28">
        <v>2947020153.8232002</v>
      </c>
      <c r="AM28">
        <f>SUM($AK$28+$AL$28)</f>
        <v>3435795181.8232002</v>
      </c>
      <c r="AO28" s="15">
        <f t="shared" si="10"/>
        <v>0.65699267192643829</v>
      </c>
      <c r="AP28" s="16"/>
    </row>
    <row r="29" spans="2:42">
      <c r="B29" s="2" t="s">
        <v>52</v>
      </c>
      <c r="C29" s="2" t="s">
        <v>51</v>
      </c>
      <c r="D29">
        <v>47698676</v>
      </c>
      <c r="E29">
        <v>72201485.861200005</v>
      </c>
      <c r="F29">
        <f t="shared" si="0"/>
        <v>119900161.8612</v>
      </c>
      <c r="G29">
        <v>57221661</v>
      </c>
      <c r="H29">
        <v>98323980.096300006</v>
      </c>
      <c r="I29">
        <f t="shared" si="1"/>
        <v>155545641.09630001</v>
      </c>
      <c r="J29">
        <v>65801771</v>
      </c>
      <c r="K29">
        <v>138664072.02829999</v>
      </c>
      <c r="L29">
        <f t="shared" si="2"/>
        <v>204465843.02829999</v>
      </c>
      <c r="M29">
        <v>83377856</v>
      </c>
      <c r="N29">
        <v>206493598.16960001</v>
      </c>
      <c r="O29">
        <f t="shared" si="3"/>
        <v>289871454.16960001</v>
      </c>
      <c r="P29">
        <v>124792161</v>
      </c>
      <c r="Q29">
        <v>368648522.81010002</v>
      </c>
      <c r="R29">
        <f t="shared" si="4"/>
        <v>493440683.81010002</v>
      </c>
      <c r="S29">
        <v>172931681</v>
      </c>
      <c r="T29">
        <v>619043538.47570002</v>
      </c>
      <c r="U29">
        <f t="shared" si="5"/>
        <v>791975219.47570002</v>
      </c>
      <c r="V29">
        <v>226284595</v>
      </c>
      <c r="W29">
        <v>860877113.21800005</v>
      </c>
      <c r="X29">
        <f t="shared" si="6"/>
        <v>1087161708.2179999</v>
      </c>
      <c r="Y29">
        <v>285612368</v>
      </c>
      <c r="Z29">
        <v>1103063526.4528</v>
      </c>
      <c r="AA29">
        <f t="shared" si="7"/>
        <v>1388675894.4528</v>
      </c>
      <c r="AB29">
        <v>403024608</v>
      </c>
      <c r="AC29">
        <v>1938064734.9503999</v>
      </c>
      <c r="AD29">
        <f t="shared" si="8"/>
        <v>2341089342.9503999</v>
      </c>
      <c r="AE29">
        <v>514543050</v>
      </c>
      <c r="AF29">
        <v>2836778743.2600002</v>
      </c>
      <c r="AG29">
        <f t="shared" si="9"/>
        <v>3351321793.2600002</v>
      </c>
      <c r="AH29">
        <v>555700102</v>
      </c>
      <c r="AI29">
        <v>3192385945.9696002</v>
      </c>
      <c r="AJ29">
        <f>SUM($AH$29+$AI$29)</f>
        <v>3748086047.9696002</v>
      </c>
      <c r="AK29">
        <v>814543141</v>
      </c>
      <c r="AL29">
        <v>5540359536.4537992</v>
      </c>
      <c r="AM29">
        <f>SUM($AK$29+$AL$29)</f>
        <v>6354902677.4537992</v>
      </c>
      <c r="AO29" s="15">
        <f t="shared" si="10"/>
        <v>0.89623768455611774</v>
      </c>
      <c r="AP29" s="16"/>
    </row>
    <row r="30" spans="2:42">
      <c r="B30" t="s">
        <v>122</v>
      </c>
      <c r="C30" t="s">
        <v>123</v>
      </c>
      <c r="D30">
        <v>465215851</v>
      </c>
      <c r="E30">
        <v>3513030977.2413998</v>
      </c>
      <c r="F30">
        <f t="shared" si="0"/>
        <v>3978246828.2413998</v>
      </c>
      <c r="G30">
        <v>460920976</v>
      </c>
      <c r="H30">
        <v>3425795154.1199999</v>
      </c>
      <c r="I30">
        <f t="shared" si="1"/>
        <v>3886716130.1199999</v>
      </c>
      <c r="J30">
        <v>468395486</v>
      </c>
      <c r="K30">
        <v>3554981220.0942001</v>
      </c>
      <c r="L30">
        <f t="shared" si="2"/>
        <v>4023376706.0942001</v>
      </c>
      <c r="M30">
        <v>462856736</v>
      </c>
      <c r="N30">
        <v>3539558031.5392003</v>
      </c>
      <c r="O30">
        <f t="shared" si="3"/>
        <v>4002414767.5392003</v>
      </c>
      <c r="P30">
        <v>467656626</v>
      </c>
      <c r="Q30">
        <v>3624432382.8252001</v>
      </c>
      <c r="R30">
        <f t="shared" si="4"/>
        <v>4092089008.8252001</v>
      </c>
      <c r="S30">
        <v>467397501</v>
      </c>
      <c r="T30">
        <v>3431398753.5914998</v>
      </c>
      <c r="U30">
        <f t="shared" si="5"/>
        <v>3898796254.5914998</v>
      </c>
      <c r="V30">
        <v>490101752</v>
      </c>
      <c r="W30">
        <v>3679929004.8920002</v>
      </c>
      <c r="X30">
        <f t="shared" si="6"/>
        <v>4170030756.8920002</v>
      </c>
      <c r="Y30">
        <v>566403572</v>
      </c>
      <c r="Z30">
        <v>4493506098.1048002</v>
      </c>
      <c r="AA30">
        <f t="shared" si="7"/>
        <v>5059909670.1048002</v>
      </c>
      <c r="AB30">
        <v>672254831</v>
      </c>
      <c r="AC30">
        <v>5531648876.8835001</v>
      </c>
      <c r="AD30">
        <f t="shared" si="8"/>
        <v>6203903707.8835001</v>
      </c>
      <c r="AE30">
        <v>770689977</v>
      </c>
      <c r="AF30">
        <v>6548090320.5827999</v>
      </c>
      <c r="AG30">
        <f t="shared" si="9"/>
        <v>7318780297.5827999</v>
      </c>
      <c r="AH30">
        <v>799352047</v>
      </c>
      <c r="AI30">
        <v>6950845659.8931999</v>
      </c>
      <c r="AJ30">
        <f>SUM($AH$30+$AI$30)</f>
        <v>7750197706.8931999</v>
      </c>
      <c r="AK30">
        <v>945903582</v>
      </c>
      <c r="AL30">
        <v>8537158188.9827995</v>
      </c>
      <c r="AM30">
        <f>SUM($AK$30+$AL$30)</f>
        <v>9483061770.9827995</v>
      </c>
      <c r="AO30" s="15">
        <f t="shared" si="10"/>
        <v>0.29571614195261531</v>
      </c>
      <c r="AP30" s="16"/>
    </row>
    <row r="31" spans="2:42">
      <c r="B31" t="s">
        <v>110</v>
      </c>
      <c r="C31" t="s">
        <v>111</v>
      </c>
      <c r="D31">
        <v>94838906</v>
      </c>
      <c r="E31">
        <v>261347573.2642</v>
      </c>
      <c r="F31">
        <f t="shared" si="0"/>
        <v>356186479.26419997</v>
      </c>
      <c r="G31">
        <v>98640246</v>
      </c>
      <c r="H31">
        <v>282180151.73219997</v>
      </c>
      <c r="I31">
        <f t="shared" si="1"/>
        <v>380820397.73219997</v>
      </c>
      <c r="J31">
        <v>100037091</v>
      </c>
      <c r="K31">
        <v>308774485.08060002</v>
      </c>
      <c r="L31">
        <f t="shared" si="2"/>
        <v>408811576.08060002</v>
      </c>
      <c r="M31">
        <v>100368401</v>
      </c>
      <c r="N31">
        <v>310399316.93259996</v>
      </c>
      <c r="O31">
        <f t="shared" si="3"/>
        <v>410767717.93259996</v>
      </c>
      <c r="P31">
        <v>108355401</v>
      </c>
      <c r="Q31">
        <v>340246794.68009996</v>
      </c>
      <c r="R31">
        <f t="shared" si="4"/>
        <v>448602195.68009996</v>
      </c>
      <c r="S31">
        <v>125509245</v>
      </c>
      <c r="T31">
        <v>466078581.3075</v>
      </c>
      <c r="U31">
        <f t="shared" si="5"/>
        <v>591587826.3075</v>
      </c>
      <c r="V31">
        <v>140883164</v>
      </c>
      <c r="W31">
        <v>565378225.44840002</v>
      </c>
      <c r="X31">
        <f t="shared" si="6"/>
        <v>706261389.44840002</v>
      </c>
      <c r="Y31">
        <v>183988839</v>
      </c>
      <c r="Z31">
        <v>802007349.20099998</v>
      </c>
      <c r="AA31">
        <f t="shared" si="7"/>
        <v>985996188.20099998</v>
      </c>
      <c r="AB31">
        <v>258063829</v>
      </c>
      <c r="AC31">
        <v>1264177279.1222999</v>
      </c>
      <c r="AD31">
        <f t="shared" si="8"/>
        <v>1522241108.1222999</v>
      </c>
      <c r="AE31">
        <v>273737060</v>
      </c>
      <c r="AF31">
        <v>1365592071.2220001</v>
      </c>
      <c r="AG31">
        <f t="shared" si="9"/>
        <v>1639329131.2220001</v>
      </c>
      <c r="AH31">
        <v>286354501</v>
      </c>
      <c r="AI31">
        <v>1458890276.2447002</v>
      </c>
      <c r="AJ31">
        <f>SUM($AH$31+$AI$31)</f>
        <v>1745244777.2447002</v>
      </c>
      <c r="AK31">
        <v>343538635</v>
      </c>
      <c r="AL31">
        <v>1942814042.5154998</v>
      </c>
      <c r="AM31">
        <f>SUM($AK$31+$AL$31)</f>
        <v>2286352677.5155001</v>
      </c>
      <c r="AO31" s="15">
        <f t="shared" si="10"/>
        <v>0.39468800619140532</v>
      </c>
      <c r="AP31" s="16"/>
    </row>
    <row r="32" spans="2:42">
      <c r="B32" s="2" t="s">
        <v>40</v>
      </c>
      <c r="C32" t="s">
        <v>39</v>
      </c>
      <c r="D32">
        <v>162941821</v>
      </c>
      <c r="E32">
        <v>503539109.43629998</v>
      </c>
      <c r="F32">
        <f t="shared" si="0"/>
        <v>666480930.43630004</v>
      </c>
      <c r="G32">
        <v>173105151</v>
      </c>
      <c r="H32">
        <v>565084454.92439997</v>
      </c>
      <c r="I32">
        <f t="shared" si="1"/>
        <v>738189605.92439997</v>
      </c>
      <c r="J32">
        <v>176261836</v>
      </c>
      <c r="K32">
        <v>665176916.69679999</v>
      </c>
      <c r="L32">
        <f t="shared" si="2"/>
        <v>841438752.69679999</v>
      </c>
      <c r="M32">
        <v>177155086</v>
      </c>
      <c r="N32">
        <v>676696997.50279999</v>
      </c>
      <c r="O32">
        <f t="shared" si="3"/>
        <v>853852083.50279999</v>
      </c>
      <c r="P32">
        <v>185460481</v>
      </c>
      <c r="Q32">
        <v>736890129.1573</v>
      </c>
      <c r="R32">
        <f t="shared" si="4"/>
        <v>922350610.1573</v>
      </c>
      <c r="S32">
        <v>208664781</v>
      </c>
      <c r="T32">
        <v>916413985.19580007</v>
      </c>
      <c r="U32">
        <f t="shared" si="5"/>
        <v>1125078766.1958001</v>
      </c>
      <c r="V32">
        <v>231824956</v>
      </c>
      <c r="W32">
        <v>1050352510.6447999</v>
      </c>
      <c r="X32">
        <f t="shared" si="6"/>
        <v>1282177466.6447999</v>
      </c>
      <c r="Y32">
        <v>253508383</v>
      </c>
      <c r="Z32">
        <v>1175239512.7496998</v>
      </c>
      <c r="AA32">
        <f t="shared" si="7"/>
        <v>1428747895.7496998</v>
      </c>
      <c r="AB32">
        <v>296092778</v>
      </c>
      <c r="AC32">
        <v>1409993808.836</v>
      </c>
      <c r="AD32">
        <f t="shared" si="8"/>
        <v>1706086586.836</v>
      </c>
      <c r="AE32">
        <v>331251624</v>
      </c>
      <c r="AF32">
        <v>1688720779.152</v>
      </c>
      <c r="AG32">
        <f t="shared" si="9"/>
        <v>2019972403.152</v>
      </c>
      <c r="AH32">
        <v>342208689</v>
      </c>
      <c r="AI32">
        <v>1765454626.5509999</v>
      </c>
      <c r="AJ32">
        <f>SUM($AH$32+$AI$32)</f>
        <v>2107663315.5509999</v>
      </c>
      <c r="AK32">
        <v>401149422</v>
      </c>
      <c r="AL32">
        <v>2226258947.2734003</v>
      </c>
      <c r="AM32">
        <f>SUM($AK$32+$AL$32)</f>
        <v>2627408369.2734003</v>
      </c>
      <c r="AO32" s="15">
        <f t="shared" si="10"/>
        <v>0.30071498262726104</v>
      </c>
      <c r="AP32" s="16"/>
    </row>
    <row r="33" spans="2:42">
      <c r="B33" t="s">
        <v>125</v>
      </c>
      <c r="C33" t="s">
        <v>126</v>
      </c>
      <c r="D33">
        <v>172068084</v>
      </c>
      <c r="E33">
        <v>631575902.32200003</v>
      </c>
      <c r="F33">
        <f t="shared" si="0"/>
        <v>803643986.32200003</v>
      </c>
      <c r="G33">
        <v>181082534</v>
      </c>
      <c r="H33">
        <v>680580595.78559995</v>
      </c>
      <c r="I33">
        <f t="shared" si="1"/>
        <v>861663129.78559995</v>
      </c>
      <c r="J33">
        <v>190361904</v>
      </c>
      <c r="K33">
        <v>786385025.42400002</v>
      </c>
      <c r="L33">
        <f t="shared" si="2"/>
        <v>976746929.42400002</v>
      </c>
      <c r="M33">
        <v>197009159</v>
      </c>
      <c r="N33">
        <v>827852187.0338999</v>
      </c>
      <c r="O33">
        <f t="shared" si="3"/>
        <v>1024861346.0338999</v>
      </c>
      <c r="P33">
        <v>205921759</v>
      </c>
      <c r="Q33">
        <v>877412022.92309999</v>
      </c>
      <c r="R33">
        <f t="shared" si="4"/>
        <v>1083333781.9231</v>
      </c>
      <c r="S33">
        <v>228525350</v>
      </c>
      <c r="T33">
        <v>1063945471.995</v>
      </c>
      <c r="U33">
        <f t="shared" si="5"/>
        <v>1292470821.9949999</v>
      </c>
      <c r="V33">
        <v>237666677</v>
      </c>
      <c r="W33">
        <v>1113872415.0959001</v>
      </c>
      <c r="X33">
        <f t="shared" si="6"/>
        <v>1351539092.0959001</v>
      </c>
      <c r="Y33">
        <v>284272714</v>
      </c>
      <c r="Z33">
        <v>1384038562.6517999</v>
      </c>
      <c r="AA33">
        <f t="shared" si="7"/>
        <v>1668311276.6517999</v>
      </c>
      <c r="AB33">
        <v>297122504</v>
      </c>
      <c r="AC33">
        <v>1458901206.8903999</v>
      </c>
      <c r="AD33">
        <f t="shared" si="8"/>
        <v>1756023710.8903999</v>
      </c>
      <c r="AE33">
        <v>355183770</v>
      </c>
      <c r="AF33">
        <v>1934579440.0589998</v>
      </c>
      <c r="AG33">
        <f t="shared" si="9"/>
        <v>2289763210.059</v>
      </c>
      <c r="AH33">
        <v>362137476</v>
      </c>
      <c r="AI33">
        <v>2005263845.8548</v>
      </c>
      <c r="AJ33">
        <f>SUM($AH$33+$AI$33)</f>
        <v>2367401321.8548002</v>
      </c>
      <c r="AK33">
        <v>409865998</v>
      </c>
      <c r="AL33">
        <v>2446859021.4601998</v>
      </c>
      <c r="AM33">
        <f>SUM($AK$33+$AL$33)</f>
        <v>2856725019.4601998</v>
      </c>
      <c r="AO33" s="15">
        <f t="shared" si="10"/>
        <v>0.24760717916617714</v>
      </c>
      <c r="AP33" s="16"/>
    </row>
    <row r="34" spans="2:42">
      <c r="B34" s="2" t="s">
        <v>23</v>
      </c>
      <c r="C34" t="s">
        <v>18</v>
      </c>
      <c r="D34">
        <v>76496380</v>
      </c>
      <c r="E34">
        <v>154186103.528</v>
      </c>
      <c r="F34">
        <f t="shared" si="0"/>
        <v>230682483.528</v>
      </c>
      <c r="G34">
        <v>93684420</v>
      </c>
      <c r="H34">
        <v>228458826.61200002</v>
      </c>
      <c r="I34">
        <f t="shared" si="1"/>
        <v>322143246.61199999</v>
      </c>
      <c r="J34">
        <v>93591890</v>
      </c>
      <c r="K34">
        <v>273035620.69700003</v>
      </c>
      <c r="L34">
        <f t="shared" si="2"/>
        <v>366627510.69700003</v>
      </c>
      <c r="M34">
        <v>102772450</v>
      </c>
      <c r="N34">
        <v>308944261.94499999</v>
      </c>
      <c r="O34">
        <f t="shared" si="3"/>
        <v>411716711.94499999</v>
      </c>
      <c r="P34">
        <v>119112730</v>
      </c>
      <c r="Q34">
        <v>389689207.46800005</v>
      </c>
      <c r="R34">
        <f t="shared" si="4"/>
        <v>508801937.46800005</v>
      </c>
      <c r="S34">
        <v>152322976</v>
      </c>
      <c r="T34">
        <v>577608724.99199998</v>
      </c>
      <c r="U34">
        <f t="shared" si="5"/>
        <v>729931700.99199998</v>
      </c>
      <c r="V34">
        <v>200644821</v>
      </c>
      <c r="W34">
        <v>806993470.06200004</v>
      </c>
      <c r="X34">
        <f t="shared" si="6"/>
        <v>1007638291.062</v>
      </c>
      <c r="Y34">
        <v>270487038</v>
      </c>
      <c r="Z34">
        <v>1115001668.0436001</v>
      </c>
      <c r="AA34">
        <f t="shared" si="7"/>
        <v>1385488706.0436001</v>
      </c>
      <c r="AB34">
        <v>346409578</v>
      </c>
      <c r="AC34">
        <v>1507331996.7514</v>
      </c>
      <c r="AD34">
        <f t="shared" si="8"/>
        <v>1853741574.7514</v>
      </c>
      <c r="AE34">
        <v>422453459</v>
      </c>
      <c r="AF34">
        <v>2029804379.8032</v>
      </c>
      <c r="AG34">
        <f t="shared" si="9"/>
        <v>2452257838.8031998</v>
      </c>
      <c r="AH34">
        <v>461953285</v>
      </c>
      <c r="AI34">
        <v>2471634856.0639997</v>
      </c>
      <c r="AJ34">
        <f>SUM($AH$34+$AI$34)</f>
        <v>2933588141.0639997</v>
      </c>
      <c r="AK34">
        <v>646613247</v>
      </c>
      <c r="AL34">
        <v>4069007840.7216001</v>
      </c>
      <c r="AM34">
        <f>SUM($AK$34+$AL$34)</f>
        <v>4715621087.7215996</v>
      </c>
      <c r="AO34" s="15">
        <f t="shared" si="10"/>
        <v>0.92297115462500146</v>
      </c>
      <c r="AP34" s="16"/>
    </row>
    <row r="35" spans="2:42">
      <c r="B35" t="s">
        <v>197</v>
      </c>
      <c r="C35" t="s">
        <v>198</v>
      </c>
      <c r="D35">
        <v>232963725</v>
      </c>
      <c r="E35">
        <v>329806745.48249996</v>
      </c>
      <c r="F35">
        <f t="shared" si="0"/>
        <v>562770470.48249996</v>
      </c>
      <c r="G35">
        <v>232963725</v>
      </c>
      <c r="H35">
        <v>329806745.48249996</v>
      </c>
      <c r="I35">
        <f t="shared" si="1"/>
        <v>562770470.48249996</v>
      </c>
      <c r="J35">
        <v>232963725</v>
      </c>
      <c r="K35">
        <v>329806745.48249996</v>
      </c>
      <c r="L35">
        <f t="shared" si="2"/>
        <v>562770470.48249996</v>
      </c>
      <c r="M35">
        <v>232963725</v>
      </c>
      <c r="N35">
        <v>329806745.48249996</v>
      </c>
      <c r="O35">
        <f t="shared" si="3"/>
        <v>562770470.48249996</v>
      </c>
      <c r="P35">
        <v>232963725</v>
      </c>
      <c r="Q35">
        <v>329806745.48249996</v>
      </c>
      <c r="R35">
        <f t="shared" si="4"/>
        <v>562770470.48249996</v>
      </c>
      <c r="S35">
        <v>232963725</v>
      </c>
      <c r="T35">
        <v>329806745.48249996</v>
      </c>
      <c r="U35">
        <f t="shared" si="5"/>
        <v>562770470.48249996</v>
      </c>
      <c r="V35">
        <v>232963725</v>
      </c>
      <c r="W35">
        <v>329806745.48249996</v>
      </c>
      <c r="X35">
        <f t="shared" si="6"/>
        <v>562770470.48249996</v>
      </c>
      <c r="Y35">
        <v>232963725</v>
      </c>
      <c r="Z35">
        <v>329806745.48249996</v>
      </c>
      <c r="AA35">
        <f t="shared" si="7"/>
        <v>562770470.48249996</v>
      </c>
      <c r="AB35">
        <v>232963725</v>
      </c>
      <c r="AC35">
        <v>329806745.48249996</v>
      </c>
      <c r="AD35">
        <f t="shared" si="8"/>
        <v>562770470.48249996</v>
      </c>
      <c r="AE35">
        <v>355683347</v>
      </c>
      <c r="AF35">
        <v>951239543.21679997</v>
      </c>
      <c r="AG35">
        <f t="shared" si="9"/>
        <v>1306922890.2168</v>
      </c>
      <c r="AH35">
        <v>472289823</v>
      </c>
      <c r="AI35">
        <v>2050918556.3775001</v>
      </c>
      <c r="AJ35">
        <f>SUM($AH$35+$AI$35)</f>
        <v>2523208379.3775001</v>
      </c>
      <c r="AK35">
        <v>848339802</v>
      </c>
      <c r="AL35">
        <v>5454146255.0183992</v>
      </c>
      <c r="AM35">
        <f>SUM($AK$35+$AL$35)</f>
        <v>6302486057.0183992</v>
      </c>
      <c r="AO35" s="15">
        <f t="shared" si="10"/>
        <v>3.8223855471480084</v>
      </c>
      <c r="AP35" s="16"/>
    </row>
    <row r="36" spans="2:42">
      <c r="B36" s="2" t="s">
        <v>41</v>
      </c>
      <c r="C36" s="2" t="s">
        <v>42</v>
      </c>
      <c r="D36">
        <v>56820886</v>
      </c>
      <c r="E36">
        <v>67633900.605800003</v>
      </c>
      <c r="F36">
        <f t="shared" si="0"/>
        <v>124454786.6058</v>
      </c>
      <c r="G36">
        <v>70109816</v>
      </c>
      <c r="H36">
        <v>102584682.7712</v>
      </c>
      <c r="I36">
        <f t="shared" si="1"/>
        <v>172694498.7712</v>
      </c>
      <c r="J36">
        <v>68596396</v>
      </c>
      <c r="K36">
        <v>113417281.1464</v>
      </c>
      <c r="L36">
        <f t="shared" si="2"/>
        <v>182013677.1464</v>
      </c>
      <c r="M36">
        <v>70011726</v>
      </c>
      <c r="N36">
        <v>119054940.06300001</v>
      </c>
      <c r="O36">
        <f t="shared" si="3"/>
        <v>189066666.06300002</v>
      </c>
      <c r="P36">
        <v>72559946</v>
      </c>
      <c r="Q36">
        <v>140287399.59639999</v>
      </c>
      <c r="R36">
        <f t="shared" si="4"/>
        <v>212847345.59639999</v>
      </c>
      <c r="S36">
        <v>81969801</v>
      </c>
      <c r="T36">
        <v>175185858.6972</v>
      </c>
      <c r="U36">
        <f t="shared" si="5"/>
        <v>257155659.6972</v>
      </c>
      <c r="V36">
        <v>88173576</v>
      </c>
      <c r="W36">
        <v>196071580.95120001</v>
      </c>
      <c r="X36">
        <f t="shared" si="6"/>
        <v>284245156.95120001</v>
      </c>
      <c r="Y36">
        <v>94981286</v>
      </c>
      <c r="Z36">
        <v>219036343.6446</v>
      </c>
      <c r="AA36">
        <f t="shared" si="7"/>
        <v>314017629.64460003</v>
      </c>
      <c r="AB36">
        <v>97904311</v>
      </c>
      <c r="AC36">
        <v>227275067.55539998</v>
      </c>
      <c r="AD36">
        <f t="shared" si="8"/>
        <v>325179378.55540001</v>
      </c>
      <c r="AE36">
        <v>92948701</v>
      </c>
      <c r="AF36">
        <v>229313740.23710001</v>
      </c>
      <c r="AG36">
        <f t="shared" si="9"/>
        <v>322262441.23710001</v>
      </c>
      <c r="AH36">
        <v>93701001</v>
      </c>
      <c r="AI36">
        <v>233980769.59710002</v>
      </c>
      <c r="AJ36">
        <f>SUM($AH$36+$AI$36)</f>
        <v>327681770.59710002</v>
      </c>
      <c r="AK36">
        <v>109229794</v>
      </c>
      <c r="AL36">
        <v>305876192.13819999</v>
      </c>
      <c r="AM36">
        <f>SUM($AK$36+$AL$36)</f>
        <v>415105986.13819999</v>
      </c>
      <c r="AO36" s="15">
        <f t="shared" si="10"/>
        <v>0.2880991794907668</v>
      </c>
      <c r="AP36" s="16"/>
    </row>
    <row r="37" spans="2:42">
      <c r="B37" t="s">
        <v>144</v>
      </c>
      <c r="C37" t="s">
        <v>150</v>
      </c>
      <c r="D37">
        <v>97737666</v>
      </c>
      <c r="E37">
        <v>321136649.17619997</v>
      </c>
      <c r="F37">
        <f t="shared" si="0"/>
        <v>418874315.17619997</v>
      </c>
      <c r="G37">
        <v>100648646</v>
      </c>
      <c r="H37">
        <v>337293742.4752</v>
      </c>
      <c r="I37">
        <f t="shared" si="1"/>
        <v>437942388.4752</v>
      </c>
      <c r="J37">
        <v>96192016</v>
      </c>
      <c r="K37">
        <v>357641915.48800004</v>
      </c>
      <c r="L37">
        <f t="shared" si="2"/>
        <v>453833931.48800004</v>
      </c>
      <c r="M37">
        <v>105340501</v>
      </c>
      <c r="N37">
        <v>399883075.84610003</v>
      </c>
      <c r="O37">
        <f t="shared" si="3"/>
        <v>505223576.84610003</v>
      </c>
      <c r="P37">
        <v>115579046</v>
      </c>
      <c r="Q37">
        <v>456502557.98620003</v>
      </c>
      <c r="R37">
        <f t="shared" si="4"/>
        <v>572081603.98620009</v>
      </c>
      <c r="S37">
        <v>145184346</v>
      </c>
      <c r="T37">
        <v>608032041.04799998</v>
      </c>
      <c r="U37">
        <f t="shared" si="5"/>
        <v>753216387.04799998</v>
      </c>
      <c r="V37">
        <v>161341676</v>
      </c>
      <c r="W37">
        <v>691671765.01199996</v>
      </c>
      <c r="X37">
        <f t="shared" si="6"/>
        <v>853013441.01199996</v>
      </c>
      <c r="Y37">
        <v>219835096</v>
      </c>
      <c r="Z37">
        <v>970308146.72479999</v>
      </c>
      <c r="AA37">
        <f t="shared" si="7"/>
        <v>1190143242.7248001</v>
      </c>
      <c r="AB37">
        <v>245953355</v>
      </c>
      <c r="AC37">
        <v>1094664597.0985</v>
      </c>
      <c r="AD37">
        <f t="shared" si="8"/>
        <v>1340617952.0985</v>
      </c>
      <c r="AE37">
        <v>290561936</v>
      </c>
      <c r="AF37">
        <v>1398532710.3552001</v>
      </c>
      <c r="AG37">
        <f t="shared" si="9"/>
        <v>1689094646.3552001</v>
      </c>
      <c r="AH37">
        <v>309568152</v>
      </c>
      <c r="AI37">
        <v>1512333292.9656</v>
      </c>
      <c r="AJ37">
        <f>SUM($AH$37+$AI$37)</f>
        <v>1821901444.9656</v>
      </c>
      <c r="AK37">
        <v>378372650</v>
      </c>
      <c r="AL37">
        <v>2019753205.6999998</v>
      </c>
      <c r="AM37">
        <f>SUM($AK$37+$AL$37)</f>
        <v>2398125855.6999998</v>
      </c>
      <c r="AO37" s="15">
        <f t="shared" si="10"/>
        <v>0.41976997018774376</v>
      </c>
      <c r="AP37" s="16"/>
    </row>
    <row r="38" spans="2:42">
      <c r="B38" s="2" t="s">
        <v>21</v>
      </c>
      <c r="C38" t="s">
        <v>19</v>
      </c>
      <c r="D38">
        <v>43003466</v>
      </c>
      <c r="E38">
        <v>43227084.023199998</v>
      </c>
      <c r="F38">
        <f t="shared" si="0"/>
        <v>86230550.023200005</v>
      </c>
      <c r="G38">
        <v>44462466</v>
      </c>
      <c r="H38">
        <v>45249451.648199998</v>
      </c>
      <c r="I38">
        <f t="shared" si="1"/>
        <v>89711917.648200005</v>
      </c>
      <c r="J38">
        <v>47165296</v>
      </c>
      <c r="K38">
        <v>50811173.380800001</v>
      </c>
      <c r="L38">
        <f t="shared" si="2"/>
        <v>97976469.380800009</v>
      </c>
      <c r="M38">
        <v>48477796</v>
      </c>
      <c r="N38">
        <v>53548573.461599998</v>
      </c>
      <c r="O38">
        <f t="shared" si="3"/>
        <v>102026369.46160001</v>
      </c>
      <c r="P38">
        <v>51628201</v>
      </c>
      <c r="Q38">
        <v>58515403.013400003</v>
      </c>
      <c r="R38">
        <f t="shared" si="4"/>
        <v>110143604.0134</v>
      </c>
      <c r="S38">
        <v>73083046</v>
      </c>
      <c r="T38">
        <v>123042616.24560001</v>
      </c>
      <c r="U38">
        <f t="shared" si="5"/>
        <v>196125662.24560001</v>
      </c>
      <c r="V38">
        <v>80441231</v>
      </c>
      <c r="W38">
        <v>146362819.80449998</v>
      </c>
      <c r="X38">
        <f t="shared" si="6"/>
        <v>226804050.80449998</v>
      </c>
      <c r="Y38">
        <v>97480604</v>
      </c>
      <c r="Z38">
        <v>194376324.37600002</v>
      </c>
      <c r="AA38">
        <f t="shared" si="7"/>
        <v>291856928.37600005</v>
      </c>
      <c r="AB38">
        <v>114730094</v>
      </c>
      <c r="AC38">
        <v>238455027.3696</v>
      </c>
      <c r="AD38">
        <f t="shared" si="8"/>
        <v>353185121.3696</v>
      </c>
      <c r="AE38">
        <v>148779924</v>
      </c>
      <c r="AF38">
        <v>344842107.84719998</v>
      </c>
      <c r="AG38">
        <f t="shared" si="9"/>
        <v>493622031.84719998</v>
      </c>
      <c r="AH38">
        <v>151778434</v>
      </c>
      <c r="AI38">
        <v>354766911.63160002</v>
      </c>
      <c r="AJ38">
        <f>SUM($AH$38+$AI$38)</f>
        <v>506545345.63160002</v>
      </c>
      <c r="AK38">
        <v>165305484</v>
      </c>
      <c r="AL38">
        <v>407544140.2536</v>
      </c>
      <c r="AM38">
        <f>SUM($AK$38+$AL$38)</f>
        <v>572849624.2536</v>
      </c>
      <c r="AO38" s="15">
        <f t="shared" si="10"/>
        <v>0.16050254505440065</v>
      </c>
      <c r="AP38" s="16"/>
    </row>
    <row r="39" spans="2:42">
      <c r="B39" t="s">
        <v>119</v>
      </c>
      <c r="C39" t="s">
        <v>120</v>
      </c>
      <c r="D39">
        <v>49565241</v>
      </c>
      <c r="E39">
        <v>49208371.264799997</v>
      </c>
      <c r="F39">
        <f t="shared" si="0"/>
        <v>98773612.264799997</v>
      </c>
      <c r="G39">
        <v>51551241</v>
      </c>
      <c r="H39">
        <v>53499877.9098</v>
      </c>
      <c r="I39">
        <f t="shared" si="1"/>
        <v>105051118.90979999</v>
      </c>
      <c r="J39">
        <v>63306456</v>
      </c>
      <c r="K39">
        <v>83108715.436800003</v>
      </c>
      <c r="L39">
        <f t="shared" si="2"/>
        <v>146415171.4368</v>
      </c>
      <c r="M39">
        <v>63306456</v>
      </c>
      <c r="N39">
        <v>83108715.436800003</v>
      </c>
      <c r="O39">
        <f t="shared" si="3"/>
        <v>146415171.4368</v>
      </c>
      <c r="P39">
        <v>64747006</v>
      </c>
      <c r="Q39">
        <v>96440665.436999992</v>
      </c>
      <c r="R39">
        <f t="shared" si="4"/>
        <v>161187671.43699998</v>
      </c>
      <c r="S39">
        <v>80245986</v>
      </c>
      <c r="T39">
        <v>140783557.83840001</v>
      </c>
      <c r="U39">
        <f t="shared" si="5"/>
        <v>221029543.83840001</v>
      </c>
      <c r="V39">
        <v>92260046</v>
      </c>
      <c r="W39">
        <v>179371981.4332</v>
      </c>
      <c r="X39">
        <f t="shared" si="6"/>
        <v>271632027.4332</v>
      </c>
      <c r="Y39">
        <v>158238974</v>
      </c>
      <c r="Z39">
        <v>365959275.16980004</v>
      </c>
      <c r="AA39">
        <f t="shared" si="7"/>
        <v>524198249.16980004</v>
      </c>
      <c r="AB39">
        <v>195016409</v>
      </c>
      <c r="AC39">
        <v>525959255.07299995</v>
      </c>
      <c r="AD39">
        <f t="shared" si="8"/>
        <v>720975664.07299995</v>
      </c>
      <c r="AE39">
        <v>222907328</v>
      </c>
      <c r="AF39">
        <v>669680485.51040006</v>
      </c>
      <c r="AG39">
        <f t="shared" si="9"/>
        <v>892587813.51040006</v>
      </c>
      <c r="AH39">
        <v>245079418</v>
      </c>
      <c r="AI39">
        <v>795674838.47880006</v>
      </c>
      <c r="AJ39">
        <f>SUM($AH$39+$AI$39)</f>
        <v>1040754256.4788001</v>
      </c>
      <c r="AK39">
        <v>320982086</v>
      </c>
      <c r="AL39">
        <v>1236358798.8548</v>
      </c>
      <c r="AM39">
        <f>SUM($AK$39+$AL$39)</f>
        <v>1557340884.8548</v>
      </c>
      <c r="AO39" s="15">
        <f t="shared" si="10"/>
        <v>0.74474809232498496</v>
      </c>
      <c r="AP39" s="16"/>
    </row>
    <row r="40" spans="2:42">
      <c r="B40" s="2" t="s">
        <v>16</v>
      </c>
      <c r="C40" t="s">
        <v>13</v>
      </c>
      <c r="D40">
        <v>45791945</v>
      </c>
      <c r="E40">
        <v>59868388.893000007</v>
      </c>
      <c r="F40">
        <f t="shared" si="0"/>
        <v>105660333.89300001</v>
      </c>
      <c r="G40">
        <v>49017690</v>
      </c>
      <c r="H40">
        <v>72320699.82599999</v>
      </c>
      <c r="I40">
        <f t="shared" si="1"/>
        <v>121338389.82599999</v>
      </c>
      <c r="J40">
        <v>40919075</v>
      </c>
      <c r="K40">
        <v>69296453.512500003</v>
      </c>
      <c r="L40">
        <f t="shared" si="2"/>
        <v>110215528.5125</v>
      </c>
      <c r="M40">
        <v>42105100</v>
      </c>
      <c r="N40">
        <v>72631297.5</v>
      </c>
      <c r="O40">
        <f t="shared" si="3"/>
        <v>114736397.5</v>
      </c>
      <c r="P40">
        <v>48506565</v>
      </c>
      <c r="Q40">
        <v>92288590.568999991</v>
      </c>
      <c r="R40">
        <f t="shared" si="4"/>
        <v>140795155.56900001</v>
      </c>
      <c r="S40">
        <v>59611695</v>
      </c>
      <c r="T40">
        <v>119610866.0175</v>
      </c>
      <c r="U40">
        <f t="shared" si="5"/>
        <v>179222561.01749998</v>
      </c>
      <c r="V40">
        <v>66174585</v>
      </c>
      <c r="W40">
        <v>136187295.93000001</v>
      </c>
      <c r="X40">
        <f t="shared" si="6"/>
        <v>202361880.93000001</v>
      </c>
      <c r="Y40">
        <v>101207112</v>
      </c>
      <c r="Z40">
        <v>215156199.40079999</v>
      </c>
      <c r="AA40">
        <f t="shared" si="7"/>
        <v>316363311.40079999</v>
      </c>
      <c r="AB40">
        <v>161904345</v>
      </c>
      <c r="AC40">
        <v>382677109.84200001</v>
      </c>
      <c r="AD40">
        <f t="shared" si="8"/>
        <v>544581454.84200001</v>
      </c>
      <c r="AE40">
        <v>196952731</v>
      </c>
      <c r="AF40">
        <v>530689133.67949998</v>
      </c>
      <c r="AG40">
        <f t="shared" si="9"/>
        <v>727641864.67949998</v>
      </c>
      <c r="AH40">
        <v>209162513</v>
      </c>
      <c r="AI40">
        <v>585111213.86619997</v>
      </c>
      <c r="AJ40">
        <f>SUM($AH$40+$AI$40)</f>
        <v>794273726.86619997</v>
      </c>
      <c r="AK40">
        <v>270623594</v>
      </c>
      <c r="AL40">
        <v>951404307.06640005</v>
      </c>
      <c r="AM40">
        <f>SUM($AK$40+$AL$40)</f>
        <v>1222027901.0664001</v>
      </c>
      <c r="AO40" s="15">
        <f t="shared" si="10"/>
        <v>0.67943594285172049</v>
      </c>
      <c r="AP40" s="16"/>
    </row>
    <row r="41" spans="2:42">
      <c r="B41" t="s">
        <v>58</v>
      </c>
      <c r="C41" s="2" t="s">
        <v>57</v>
      </c>
      <c r="D41">
        <v>57688305</v>
      </c>
      <c r="E41">
        <v>79015671.358500004</v>
      </c>
      <c r="F41">
        <f t="shared" si="0"/>
        <v>136703976.3585</v>
      </c>
      <c r="G41">
        <v>64822400</v>
      </c>
      <c r="H41">
        <v>98711550.719999999</v>
      </c>
      <c r="I41">
        <f t="shared" si="1"/>
        <v>163533950.72</v>
      </c>
      <c r="J41">
        <v>62373725</v>
      </c>
      <c r="K41">
        <v>106546797.045</v>
      </c>
      <c r="L41">
        <f t="shared" si="2"/>
        <v>168920522.04500002</v>
      </c>
      <c r="M41">
        <v>62812225</v>
      </c>
      <c r="N41">
        <v>108238026.11999999</v>
      </c>
      <c r="O41">
        <f t="shared" si="3"/>
        <v>171050251.12</v>
      </c>
      <c r="P41">
        <v>73849225</v>
      </c>
      <c r="Q41">
        <v>141288337.26999998</v>
      </c>
      <c r="R41">
        <f t="shared" si="4"/>
        <v>215137562.26999998</v>
      </c>
      <c r="S41">
        <v>91360730</v>
      </c>
      <c r="T41">
        <v>202501058.04500002</v>
      </c>
      <c r="U41">
        <f t="shared" si="5"/>
        <v>293861788.04500002</v>
      </c>
      <c r="V41">
        <v>78820470</v>
      </c>
      <c r="W41">
        <v>172766588.19299999</v>
      </c>
      <c r="X41">
        <f t="shared" si="6"/>
        <v>251587058.19299999</v>
      </c>
      <c r="Y41">
        <v>105166893</v>
      </c>
      <c r="Z41">
        <v>248835385.5273</v>
      </c>
      <c r="AA41">
        <f t="shared" si="7"/>
        <v>354002278.5273</v>
      </c>
      <c r="AB41">
        <v>208037068</v>
      </c>
      <c r="AC41">
        <v>575284904.14039993</v>
      </c>
      <c r="AD41">
        <f t="shared" si="8"/>
        <v>783321972.14039993</v>
      </c>
      <c r="AE41">
        <v>299598469</v>
      </c>
      <c r="AF41">
        <v>960183133.29809999</v>
      </c>
      <c r="AG41">
        <f t="shared" si="9"/>
        <v>1259781602.2981</v>
      </c>
      <c r="AH41">
        <v>300720844</v>
      </c>
      <c r="AI41">
        <v>971298254.03560007</v>
      </c>
      <c r="AJ41">
        <f>SUM($AH$41+$AI$41)</f>
        <v>1272019098.0356002</v>
      </c>
      <c r="AK41">
        <v>318255238</v>
      </c>
      <c r="AL41">
        <v>1104218373.7647998</v>
      </c>
      <c r="AM41">
        <f>SUM($AK$41+$AL$41)</f>
        <v>1422473611.7647998</v>
      </c>
      <c r="AO41" s="15">
        <f t="shared" si="10"/>
        <v>0.12914302698969116</v>
      </c>
      <c r="AP41" s="16"/>
    </row>
    <row r="42" spans="2:42">
      <c r="B42" t="s">
        <v>151</v>
      </c>
      <c r="C42" t="s">
        <v>145</v>
      </c>
      <c r="D42">
        <v>17987575</v>
      </c>
      <c r="E42">
        <v>7047531.8849999998</v>
      </c>
      <c r="F42">
        <f t="shared" si="0"/>
        <v>25035106.884999998</v>
      </c>
      <c r="G42">
        <v>24662120</v>
      </c>
      <c r="H42">
        <v>14015482.796</v>
      </c>
      <c r="I42">
        <f t="shared" si="1"/>
        <v>38677602.796000004</v>
      </c>
      <c r="J42">
        <v>37466065</v>
      </c>
      <c r="K42">
        <v>33625793.337499999</v>
      </c>
      <c r="L42">
        <f t="shared" si="2"/>
        <v>71091858.337500006</v>
      </c>
      <c r="M42">
        <v>38949680</v>
      </c>
      <c r="N42">
        <v>35541583</v>
      </c>
      <c r="O42">
        <f t="shared" si="3"/>
        <v>74491263</v>
      </c>
      <c r="P42">
        <v>57556360</v>
      </c>
      <c r="Q42">
        <v>55110214.700000003</v>
      </c>
      <c r="R42">
        <f t="shared" si="4"/>
        <v>112666574.7</v>
      </c>
      <c r="S42">
        <v>74634197</v>
      </c>
      <c r="T42">
        <v>88807231.010299996</v>
      </c>
      <c r="U42">
        <f t="shared" si="5"/>
        <v>163441428.01029998</v>
      </c>
      <c r="V42">
        <v>82426798</v>
      </c>
      <c r="W42">
        <v>110649733.63520001</v>
      </c>
      <c r="X42">
        <f t="shared" si="6"/>
        <v>193076531.63520002</v>
      </c>
      <c r="Y42">
        <v>143702874</v>
      </c>
      <c r="Z42">
        <v>246996499.8312</v>
      </c>
      <c r="AA42">
        <f t="shared" si="7"/>
        <v>390699373.8312</v>
      </c>
      <c r="AB42">
        <v>183361543</v>
      </c>
      <c r="AC42">
        <v>336505103.71360004</v>
      </c>
      <c r="AD42">
        <f t="shared" si="8"/>
        <v>519866646.71360004</v>
      </c>
      <c r="AE42">
        <v>211955458</v>
      </c>
      <c r="AF42">
        <v>429421757.90799999</v>
      </c>
      <c r="AG42">
        <f t="shared" si="9"/>
        <v>641377215.90799999</v>
      </c>
      <c r="AH42">
        <v>226707996</v>
      </c>
      <c r="AI42">
        <v>527640189.89039999</v>
      </c>
      <c r="AJ42">
        <f>SUM($AH$42+$AI$42)</f>
        <v>754348185.89039993</v>
      </c>
      <c r="AK42">
        <v>276704268</v>
      </c>
      <c r="AL42">
        <v>806980327.19519997</v>
      </c>
      <c r="AM42">
        <f>SUM($AK$42+$AL$42)</f>
        <v>1083684595.1952</v>
      </c>
      <c r="AO42" s="15">
        <f t="shared" si="10"/>
        <v>0.68962128419392621</v>
      </c>
      <c r="AP42" s="16"/>
    </row>
    <row r="43" spans="2:42">
      <c r="B43" s="2" t="s">
        <v>62</v>
      </c>
      <c r="C43" t="s">
        <v>61</v>
      </c>
      <c r="D43">
        <v>9221571</v>
      </c>
      <c r="E43">
        <v>2750794.6292999997</v>
      </c>
      <c r="F43">
        <f t="shared" si="0"/>
        <v>11972365.6293</v>
      </c>
      <c r="G43">
        <v>21994581</v>
      </c>
      <c r="H43">
        <v>10361647.109099999</v>
      </c>
      <c r="I43">
        <f t="shared" si="1"/>
        <v>32356228.109099999</v>
      </c>
      <c r="J43">
        <v>20183871</v>
      </c>
      <c r="K43">
        <v>16094618.735399999</v>
      </c>
      <c r="L43">
        <f t="shared" si="2"/>
        <v>36278489.735399999</v>
      </c>
      <c r="M43">
        <v>21684496</v>
      </c>
      <c r="N43">
        <v>18071858.966400001</v>
      </c>
      <c r="O43">
        <f t="shared" si="3"/>
        <v>39756354.966399997</v>
      </c>
      <c r="P43">
        <v>28847361</v>
      </c>
      <c r="Q43">
        <v>29666626.0524</v>
      </c>
      <c r="R43">
        <f t="shared" si="4"/>
        <v>58513987.0524</v>
      </c>
      <c r="S43">
        <v>51384956</v>
      </c>
      <c r="T43">
        <v>74631510.094400004</v>
      </c>
      <c r="U43">
        <f t="shared" si="5"/>
        <v>126016466.0944</v>
      </c>
      <c r="V43">
        <v>60932841</v>
      </c>
      <c r="W43">
        <v>94141239.344999999</v>
      </c>
      <c r="X43">
        <f t="shared" si="6"/>
        <v>155074080.345</v>
      </c>
      <c r="Y43">
        <v>102725303</v>
      </c>
      <c r="Z43">
        <v>166127360.01159999</v>
      </c>
      <c r="AA43">
        <f t="shared" si="7"/>
        <v>268852663.01160002</v>
      </c>
      <c r="AB43">
        <v>112151993</v>
      </c>
      <c r="AC43">
        <v>177245009.73719999</v>
      </c>
      <c r="AD43">
        <f t="shared" si="8"/>
        <v>289397002.73720002</v>
      </c>
      <c r="AE43">
        <v>142133999</v>
      </c>
      <c r="AF43">
        <v>287920841.77429998</v>
      </c>
      <c r="AG43">
        <f t="shared" si="9"/>
        <v>430054840.77429998</v>
      </c>
      <c r="AH43">
        <v>143915205</v>
      </c>
      <c r="AI43">
        <v>303905738.39849997</v>
      </c>
      <c r="AJ43">
        <f>SUM($AH$43+$AI$43)</f>
        <v>447820943.39849997</v>
      </c>
      <c r="AK43">
        <v>149039587</v>
      </c>
      <c r="AL43">
        <v>331717408.7859</v>
      </c>
      <c r="AM43">
        <f>SUM($AK$43+$AL$43)</f>
        <v>480756995.7859</v>
      </c>
      <c r="AO43" s="15">
        <f t="shared" si="10"/>
        <v>0.11789695221268159</v>
      </c>
      <c r="AP43" s="16"/>
    </row>
    <row r="44" spans="2:42">
      <c r="B44" s="2" t="s">
        <v>93</v>
      </c>
      <c r="C44" t="s">
        <v>91</v>
      </c>
      <c r="D44">
        <v>115755846</v>
      </c>
      <c r="E44">
        <v>362686216.68720001</v>
      </c>
      <c r="F44">
        <f t="shared" si="0"/>
        <v>478442062.68720001</v>
      </c>
      <c r="G44">
        <v>115755846</v>
      </c>
      <c r="H44">
        <v>362686216.68720001</v>
      </c>
      <c r="I44">
        <f t="shared" si="1"/>
        <v>478442062.68720001</v>
      </c>
      <c r="J44">
        <v>113320246</v>
      </c>
      <c r="K44">
        <v>392292027.60280001</v>
      </c>
      <c r="L44">
        <f t="shared" si="2"/>
        <v>505612273.60280001</v>
      </c>
      <c r="M44">
        <v>117317246</v>
      </c>
      <c r="N44">
        <v>415514221.88279998</v>
      </c>
      <c r="O44">
        <f t="shared" si="3"/>
        <v>532831467.88279998</v>
      </c>
      <c r="P44">
        <v>128801931</v>
      </c>
      <c r="Q44">
        <v>488378281.77270001</v>
      </c>
      <c r="R44">
        <f t="shared" si="4"/>
        <v>617180212.77270007</v>
      </c>
      <c r="S44">
        <v>170173661</v>
      </c>
      <c r="T44">
        <v>760472056.27680004</v>
      </c>
      <c r="U44">
        <f t="shared" si="5"/>
        <v>930645717.27680004</v>
      </c>
      <c r="V44">
        <v>195413661</v>
      </c>
      <c r="W44">
        <v>898375223.71530008</v>
      </c>
      <c r="X44">
        <f t="shared" si="6"/>
        <v>1093788884.7153001</v>
      </c>
      <c r="Y44">
        <v>232878428</v>
      </c>
      <c r="Z44">
        <v>1097928636.6487999</v>
      </c>
      <c r="AA44">
        <f t="shared" si="7"/>
        <v>1330807064.6487999</v>
      </c>
      <c r="AB44">
        <v>322819448</v>
      </c>
      <c r="AC44">
        <v>1558120347.7168</v>
      </c>
      <c r="AD44">
        <f t="shared" si="8"/>
        <v>1880939795.7168</v>
      </c>
      <c r="AE44">
        <v>342902579</v>
      </c>
      <c r="AF44">
        <v>1822184304.806</v>
      </c>
      <c r="AG44">
        <f t="shared" si="9"/>
        <v>2165086883.8059998</v>
      </c>
      <c r="AH44">
        <v>359026095</v>
      </c>
      <c r="AI44">
        <v>2025445714.9424999</v>
      </c>
      <c r="AJ44">
        <f>SUM($AH$44+$AI$44)</f>
        <v>2384471809.9425001</v>
      </c>
      <c r="AK44">
        <v>400546755</v>
      </c>
      <c r="AL44">
        <v>2400316484.013</v>
      </c>
      <c r="AM44">
        <f>SUM($AK$44+$AL$44)</f>
        <v>2800863239.013</v>
      </c>
      <c r="AO44" s="15">
        <f t="shared" si="10"/>
        <v>0.29364934957684974</v>
      </c>
      <c r="AP44" s="16"/>
    </row>
    <row r="45" spans="2:42">
      <c r="B45" t="s">
        <v>107</v>
      </c>
      <c r="C45" t="s">
        <v>108</v>
      </c>
      <c r="D45">
        <v>119280906</v>
      </c>
      <c r="E45">
        <v>334523300.87699997</v>
      </c>
      <c r="F45">
        <f t="shared" si="0"/>
        <v>453804206.87699997</v>
      </c>
      <c r="G45">
        <v>122905136</v>
      </c>
      <c r="H45">
        <v>346973489.44160002</v>
      </c>
      <c r="I45">
        <f t="shared" si="1"/>
        <v>469878625.44160002</v>
      </c>
      <c r="J45">
        <v>126512386</v>
      </c>
      <c r="K45">
        <v>393984872.48120004</v>
      </c>
      <c r="L45">
        <f t="shared" si="2"/>
        <v>520497258.48120004</v>
      </c>
      <c r="M45">
        <v>138047601</v>
      </c>
      <c r="N45">
        <v>461368887.30209994</v>
      </c>
      <c r="O45">
        <f t="shared" si="3"/>
        <v>599416488.30209994</v>
      </c>
      <c r="P45">
        <v>175970411</v>
      </c>
      <c r="Q45">
        <v>655155437.19410002</v>
      </c>
      <c r="R45">
        <f t="shared" si="4"/>
        <v>831125848.19410002</v>
      </c>
      <c r="S45">
        <v>256360514</v>
      </c>
      <c r="T45">
        <v>1144239518.1875999</v>
      </c>
      <c r="U45">
        <f t="shared" si="5"/>
        <v>1400600032.1875999</v>
      </c>
      <c r="V45">
        <v>290005884</v>
      </c>
      <c r="W45">
        <v>1349165373.5448</v>
      </c>
      <c r="X45">
        <f t="shared" si="6"/>
        <v>1639171257.5448</v>
      </c>
      <c r="Y45">
        <v>359152717</v>
      </c>
      <c r="Z45">
        <v>1774789066.3272002</v>
      </c>
      <c r="AA45">
        <f t="shared" si="7"/>
        <v>2133941783.3272002</v>
      </c>
      <c r="AB45">
        <v>497357157</v>
      </c>
      <c r="AC45">
        <v>2598939823.9034996</v>
      </c>
      <c r="AD45">
        <f t="shared" si="8"/>
        <v>3096296980.9034996</v>
      </c>
      <c r="AE45">
        <v>582363053</v>
      </c>
      <c r="AF45">
        <v>3291166557.7241998</v>
      </c>
      <c r="AG45">
        <f t="shared" si="9"/>
        <v>3873529610.7241998</v>
      </c>
      <c r="AH45">
        <v>602874133</v>
      </c>
      <c r="AI45">
        <v>3532058683.0071001</v>
      </c>
      <c r="AJ45">
        <f>SUM($AH$45+$AI$45)</f>
        <v>4134932816.0071001</v>
      </c>
      <c r="AK45">
        <v>727318848</v>
      </c>
      <c r="AL45">
        <v>4694115844.9919996</v>
      </c>
      <c r="AM45">
        <f>SUM($AK$45+$AL$45)</f>
        <v>5421434692.9919996</v>
      </c>
      <c r="AO45" s="15">
        <f t="shared" si="10"/>
        <v>0.39961101058380755</v>
      </c>
      <c r="AP45" s="16"/>
    </row>
    <row r="46" spans="2:42">
      <c r="B46" s="2" t="s">
        <v>14</v>
      </c>
      <c r="C46" t="s">
        <v>12</v>
      </c>
      <c r="D46">
        <v>94358075</v>
      </c>
      <c r="E46">
        <v>170986267.70750001</v>
      </c>
      <c r="F46">
        <f t="shared" si="0"/>
        <v>265344342.70750001</v>
      </c>
      <c r="G46">
        <v>101224445</v>
      </c>
      <c r="H46">
        <v>204807419.56850001</v>
      </c>
      <c r="I46">
        <f t="shared" si="1"/>
        <v>306031864.56850004</v>
      </c>
      <c r="J46">
        <v>93534895</v>
      </c>
      <c r="K46">
        <v>204121201.3585</v>
      </c>
      <c r="L46">
        <f t="shared" si="2"/>
        <v>297656096.3585</v>
      </c>
      <c r="M46">
        <v>93534895</v>
      </c>
      <c r="N46">
        <v>204121201.3585</v>
      </c>
      <c r="O46">
        <f t="shared" si="3"/>
        <v>297656096.3585</v>
      </c>
      <c r="P46">
        <v>94766895</v>
      </c>
      <c r="Q46">
        <v>207757463.90849999</v>
      </c>
      <c r="R46">
        <f t="shared" si="4"/>
        <v>302524358.90849996</v>
      </c>
      <c r="S46">
        <v>91385070</v>
      </c>
      <c r="T46">
        <v>210907603.053</v>
      </c>
      <c r="U46">
        <f t="shared" si="5"/>
        <v>302292673.05299997</v>
      </c>
      <c r="V46">
        <v>110299900</v>
      </c>
      <c r="W46">
        <v>284937731.66999996</v>
      </c>
      <c r="X46">
        <f t="shared" si="6"/>
        <v>395237631.66999996</v>
      </c>
      <c r="Y46">
        <v>142436140</v>
      </c>
      <c r="Z46">
        <v>383067754.91600001</v>
      </c>
      <c r="AA46">
        <f t="shared" si="7"/>
        <v>525503894.91600001</v>
      </c>
      <c r="AB46">
        <v>151852540</v>
      </c>
      <c r="AC46">
        <v>413099649.81600004</v>
      </c>
      <c r="AD46">
        <f t="shared" si="8"/>
        <v>564952189.81599998</v>
      </c>
      <c r="AE46">
        <v>164254501</v>
      </c>
      <c r="AF46">
        <v>515759133.13999999</v>
      </c>
      <c r="AG46">
        <f t="shared" si="9"/>
        <v>680013634.13999999</v>
      </c>
      <c r="AH46">
        <v>171756721</v>
      </c>
      <c r="AI46">
        <v>544468805.57000005</v>
      </c>
      <c r="AJ46">
        <f>SUM($AH$46+$AI$46)</f>
        <v>716225526.57000005</v>
      </c>
      <c r="AK46">
        <v>210358996</v>
      </c>
      <c r="AL46">
        <v>732154485.57800007</v>
      </c>
      <c r="AM46">
        <f>SUM($AK$46+$AL$46)</f>
        <v>942513481.57800007</v>
      </c>
      <c r="AO46" s="15">
        <f t="shared" si="10"/>
        <v>0.38602144759932422</v>
      </c>
      <c r="AP46" s="16"/>
    </row>
    <row r="47" spans="2:42">
      <c r="B47" s="2" t="s">
        <v>29</v>
      </c>
      <c r="C47" t="s">
        <v>27</v>
      </c>
      <c r="D47">
        <v>157234429</v>
      </c>
      <c r="E47">
        <v>409407006.23019999</v>
      </c>
      <c r="F47">
        <f t="shared" si="0"/>
        <v>566641435.23020005</v>
      </c>
      <c r="G47">
        <v>176005164</v>
      </c>
      <c r="H47">
        <v>494257701.54479998</v>
      </c>
      <c r="I47">
        <f t="shared" si="1"/>
        <v>670262865.54480004</v>
      </c>
      <c r="J47">
        <v>195776192</v>
      </c>
      <c r="K47">
        <v>654088257.472</v>
      </c>
      <c r="L47">
        <f t="shared" si="2"/>
        <v>849864449.472</v>
      </c>
      <c r="M47">
        <v>201416047</v>
      </c>
      <c r="N47">
        <v>694482530.05599999</v>
      </c>
      <c r="O47">
        <f t="shared" si="3"/>
        <v>895898577.05599999</v>
      </c>
      <c r="P47">
        <v>212443732</v>
      </c>
      <c r="Q47">
        <v>755110001.02079999</v>
      </c>
      <c r="R47">
        <f t="shared" si="4"/>
        <v>967553733.02079999</v>
      </c>
      <c r="S47">
        <v>270038057</v>
      </c>
      <c r="T47">
        <v>1151226244.6024001</v>
      </c>
      <c r="U47">
        <f t="shared" si="5"/>
        <v>1421264301.6024001</v>
      </c>
      <c r="V47">
        <v>312022282</v>
      </c>
      <c r="W47">
        <v>1409467052.2504001</v>
      </c>
      <c r="X47">
        <f t="shared" si="6"/>
        <v>1721489334.2504001</v>
      </c>
      <c r="Y47">
        <v>363581775</v>
      </c>
      <c r="Z47">
        <v>1690473462.8625</v>
      </c>
      <c r="AA47">
        <f t="shared" si="7"/>
        <v>2054055237.8625</v>
      </c>
      <c r="AB47">
        <v>441374735</v>
      </c>
      <c r="AC47">
        <v>2208815723.8340001</v>
      </c>
      <c r="AD47">
        <f t="shared" si="8"/>
        <v>2650190458.8340001</v>
      </c>
      <c r="AE47">
        <v>482845181</v>
      </c>
      <c r="AF47">
        <v>2604128914.6873002</v>
      </c>
      <c r="AG47">
        <f t="shared" si="9"/>
        <v>3086974095.6873002</v>
      </c>
      <c r="AH47">
        <v>502359794</v>
      </c>
      <c r="AI47">
        <v>2827883752.3848</v>
      </c>
      <c r="AJ47">
        <f>SUM($AH$47+$AI$47)</f>
        <v>3330243546.3848</v>
      </c>
      <c r="AK47">
        <v>616655214</v>
      </c>
      <c r="AL47">
        <v>3912677332.8299999</v>
      </c>
      <c r="AM47">
        <f>SUM($AK$47+$AL$47)</f>
        <v>4529332546.8299999</v>
      </c>
      <c r="AO47" s="15">
        <f t="shared" si="10"/>
        <v>0.46724021855504594</v>
      </c>
      <c r="AP47" s="16"/>
    </row>
    <row r="48" spans="2:42">
      <c r="B48" t="s">
        <v>228</v>
      </c>
      <c r="C48" t="s">
        <v>222</v>
      </c>
      <c r="D48">
        <v>487303023</v>
      </c>
      <c r="E48">
        <v>2179365309.7628999</v>
      </c>
      <c r="F48">
        <f t="shared" si="0"/>
        <v>2666668332.7628999</v>
      </c>
      <c r="G48">
        <v>487303023</v>
      </c>
      <c r="H48">
        <v>2179365309.7628999</v>
      </c>
      <c r="I48">
        <f t="shared" si="1"/>
        <v>2666668332.7628999</v>
      </c>
      <c r="J48">
        <v>487303023</v>
      </c>
      <c r="K48">
        <v>2179365309.7628999</v>
      </c>
      <c r="L48">
        <f t="shared" si="2"/>
        <v>2666668332.7628999</v>
      </c>
      <c r="M48">
        <v>487303023</v>
      </c>
      <c r="N48">
        <v>2179365309.7628999</v>
      </c>
      <c r="O48">
        <f t="shared" si="3"/>
        <v>2666668332.7628999</v>
      </c>
      <c r="P48">
        <v>487303023</v>
      </c>
      <c r="Q48">
        <v>2179365309.7628999</v>
      </c>
      <c r="R48">
        <f t="shared" si="4"/>
        <v>2666668332.7628999</v>
      </c>
      <c r="S48">
        <v>487303023</v>
      </c>
      <c r="T48">
        <v>2179365309.7628999</v>
      </c>
      <c r="U48">
        <f t="shared" si="5"/>
        <v>2666668332.7628999</v>
      </c>
      <c r="V48">
        <v>487303023</v>
      </c>
      <c r="W48">
        <v>2179365309.7628999</v>
      </c>
      <c r="X48">
        <f t="shared" si="6"/>
        <v>2666668332.7628999</v>
      </c>
      <c r="Y48">
        <v>487303023</v>
      </c>
      <c r="Z48">
        <v>2179365309.7628999</v>
      </c>
      <c r="AA48">
        <f t="shared" si="7"/>
        <v>2666668332.7628999</v>
      </c>
      <c r="AB48">
        <v>487303023</v>
      </c>
      <c r="AC48">
        <v>2179365309.7628999</v>
      </c>
      <c r="AD48">
        <f t="shared" si="8"/>
        <v>2666668332.7628999</v>
      </c>
      <c r="AE48">
        <v>544774689</v>
      </c>
      <c r="AF48">
        <v>2544261230.0366998</v>
      </c>
      <c r="AG48">
        <f t="shared" si="9"/>
        <v>3089035919.0366998</v>
      </c>
      <c r="AH48">
        <v>604397604</v>
      </c>
      <c r="AI48">
        <v>3225730452.3084002</v>
      </c>
      <c r="AJ48">
        <f>SUM($AH$48+$AI$48)</f>
        <v>3830128056.3084002</v>
      </c>
      <c r="AK48">
        <v>848844479</v>
      </c>
      <c r="AL48">
        <v>5781819284.2606001</v>
      </c>
      <c r="AM48">
        <f>SUM($AK$48+$AL$48)</f>
        <v>6630663763.2606001</v>
      </c>
      <c r="AO48" s="15">
        <f t="shared" si="10"/>
        <v>1.1465155916116183</v>
      </c>
      <c r="AP48" s="16"/>
    </row>
    <row r="49" spans="2:42">
      <c r="B49" s="1" t="s">
        <v>1</v>
      </c>
      <c r="C49" t="s">
        <v>0</v>
      </c>
      <c r="D49">
        <v>293442005</v>
      </c>
      <c r="E49">
        <v>1719570149.3</v>
      </c>
      <c r="F49">
        <f t="shared" si="0"/>
        <v>2013012154.3</v>
      </c>
      <c r="G49">
        <v>296886770</v>
      </c>
      <c r="H49">
        <v>1763240215.707</v>
      </c>
      <c r="I49">
        <f t="shared" si="1"/>
        <v>2060126985.707</v>
      </c>
      <c r="J49">
        <v>326824763</v>
      </c>
      <c r="K49">
        <v>2125439481.2179</v>
      </c>
      <c r="L49">
        <f t="shared" si="2"/>
        <v>2452264244.2179003</v>
      </c>
      <c r="M49">
        <v>342998938</v>
      </c>
      <c r="N49">
        <v>2282074834.1954002</v>
      </c>
      <c r="O49">
        <f t="shared" si="3"/>
        <v>2625073772.1954002</v>
      </c>
      <c r="P49">
        <v>380209938</v>
      </c>
      <c r="Q49">
        <v>2642953342.0194001</v>
      </c>
      <c r="R49">
        <f t="shared" si="4"/>
        <v>3023163280.0194001</v>
      </c>
      <c r="S49">
        <v>480515502</v>
      </c>
      <c r="T49">
        <v>3709867984.7412</v>
      </c>
      <c r="U49">
        <f t="shared" si="5"/>
        <v>4190383486.7412</v>
      </c>
      <c r="V49">
        <v>516828396</v>
      </c>
      <c r="W49">
        <v>4085580153.2195997</v>
      </c>
      <c r="X49">
        <f t="shared" si="6"/>
        <v>4602408549.2195997</v>
      </c>
      <c r="Y49">
        <v>614006139</v>
      </c>
      <c r="Z49">
        <v>4919908390.5791998</v>
      </c>
      <c r="AA49">
        <f t="shared" si="7"/>
        <v>5533914529.5791998</v>
      </c>
      <c r="AB49">
        <v>677051659</v>
      </c>
      <c r="AC49">
        <v>5556495260.2471008</v>
      </c>
      <c r="AD49">
        <f t="shared" si="8"/>
        <v>6233546919.2471008</v>
      </c>
      <c r="AE49">
        <v>820976466</v>
      </c>
      <c r="AF49">
        <v>7248237023.0207996</v>
      </c>
      <c r="AG49">
        <f t="shared" si="9"/>
        <v>8069213489.0207996</v>
      </c>
      <c r="AH49">
        <v>882541076</v>
      </c>
      <c r="AI49">
        <v>7978789105.7932005</v>
      </c>
      <c r="AJ49">
        <f>SUM($AH$49+$AI$49)</f>
        <v>8861330181.7932014</v>
      </c>
      <c r="AK49">
        <v>1156230966</v>
      </c>
      <c r="AL49">
        <v>11640470873.3016</v>
      </c>
      <c r="AM49">
        <f>SUM($AK$49+$AL$49)</f>
        <v>12796701839.3016</v>
      </c>
      <c r="AO49" s="15">
        <f t="shared" si="10"/>
        <v>0.58586730376054064</v>
      </c>
      <c r="AP49" s="16"/>
    </row>
    <row r="50" spans="2:42">
      <c r="B50" t="s">
        <v>100</v>
      </c>
      <c r="C50" t="s">
        <v>101</v>
      </c>
      <c r="D50">
        <v>101008370</v>
      </c>
      <c r="E50">
        <v>193471431.898</v>
      </c>
      <c r="F50">
        <f t="shared" si="0"/>
        <v>294479801.898</v>
      </c>
      <c r="G50">
        <v>104776045</v>
      </c>
      <c r="H50">
        <v>212789669.79050002</v>
      </c>
      <c r="I50">
        <f t="shared" si="1"/>
        <v>317565714.79050004</v>
      </c>
      <c r="J50">
        <v>101449465</v>
      </c>
      <c r="K50">
        <v>257925119.81600001</v>
      </c>
      <c r="L50">
        <f t="shared" si="2"/>
        <v>359374584.81599998</v>
      </c>
      <c r="M50">
        <v>98343390</v>
      </c>
      <c r="N50">
        <v>249044800.836</v>
      </c>
      <c r="O50">
        <f t="shared" si="3"/>
        <v>347388190.83599997</v>
      </c>
      <c r="P50">
        <v>101392390</v>
      </c>
      <c r="Q50">
        <v>270961023.03600001</v>
      </c>
      <c r="R50">
        <f t="shared" si="4"/>
        <v>372353413.03600001</v>
      </c>
      <c r="S50">
        <v>113831010</v>
      </c>
      <c r="T50">
        <v>327810542.59800005</v>
      </c>
      <c r="U50">
        <f t="shared" si="5"/>
        <v>441641552.59800005</v>
      </c>
      <c r="V50">
        <v>118977085</v>
      </c>
      <c r="W50">
        <v>350958605.333</v>
      </c>
      <c r="X50">
        <f t="shared" si="6"/>
        <v>469935690.333</v>
      </c>
      <c r="Y50">
        <v>154897225</v>
      </c>
      <c r="Z50">
        <v>467170030.60000002</v>
      </c>
      <c r="AA50">
        <f t="shared" si="7"/>
        <v>622067255.60000002</v>
      </c>
      <c r="AB50">
        <v>171076805</v>
      </c>
      <c r="AC50">
        <v>527703512.70299995</v>
      </c>
      <c r="AD50">
        <f t="shared" si="8"/>
        <v>698780317.70299995</v>
      </c>
      <c r="AE50">
        <v>226718506</v>
      </c>
      <c r="AF50">
        <v>783811218.94320011</v>
      </c>
      <c r="AG50">
        <f t="shared" si="9"/>
        <v>1010529724.9432001</v>
      </c>
      <c r="AH50">
        <v>236119206</v>
      </c>
      <c r="AI50">
        <v>822261522.97440004</v>
      </c>
      <c r="AJ50">
        <f>SUM($AH$50+$AI$50)</f>
        <v>1058380728.9744</v>
      </c>
      <c r="AK50">
        <v>316718459</v>
      </c>
      <c r="AL50">
        <v>1404583021.9732001</v>
      </c>
      <c r="AM50">
        <f>SUM($AK$50+$AL$50)</f>
        <v>1721301480.9732001</v>
      </c>
      <c r="AO50" s="15">
        <f t="shared" si="10"/>
        <v>0.70336551066813113</v>
      </c>
      <c r="AP50" s="16"/>
    </row>
    <row r="51" spans="2:42">
      <c r="B51" s="2" t="s">
        <v>24</v>
      </c>
      <c r="C51" t="s">
        <v>20</v>
      </c>
      <c r="D51">
        <v>452551276</v>
      </c>
      <c r="E51">
        <v>3321047538.9260001</v>
      </c>
      <c r="F51">
        <f t="shared" si="0"/>
        <v>3773598814.9260001</v>
      </c>
      <c r="G51">
        <v>458778966</v>
      </c>
      <c r="H51">
        <v>3422903987.4294</v>
      </c>
      <c r="I51">
        <f t="shared" si="1"/>
        <v>3881682953.4294</v>
      </c>
      <c r="J51">
        <v>491340456</v>
      </c>
      <c r="K51">
        <v>3778752044.9592004</v>
      </c>
      <c r="L51">
        <f t="shared" si="2"/>
        <v>4270092500.9592004</v>
      </c>
      <c r="M51">
        <v>528042181</v>
      </c>
      <c r="N51">
        <v>4189750685.1445003</v>
      </c>
      <c r="O51">
        <f t="shared" si="3"/>
        <v>4717792866.1445007</v>
      </c>
      <c r="P51">
        <v>563799490</v>
      </c>
      <c r="Q51">
        <v>4528663023.4759998</v>
      </c>
      <c r="R51">
        <f t="shared" si="4"/>
        <v>5092462513.4759998</v>
      </c>
      <c r="S51">
        <v>693886835</v>
      </c>
      <c r="T51">
        <v>6180588816.7119999</v>
      </c>
      <c r="U51">
        <f t="shared" si="5"/>
        <v>6874475651.7119999</v>
      </c>
      <c r="V51">
        <v>753375985</v>
      </c>
      <c r="W51">
        <v>6848790404.4380007</v>
      </c>
      <c r="X51">
        <f t="shared" si="6"/>
        <v>7602166389.4380007</v>
      </c>
      <c r="Y51">
        <v>865086852</v>
      </c>
      <c r="Z51">
        <v>8068232525.1779995</v>
      </c>
      <c r="AA51">
        <f t="shared" si="7"/>
        <v>8933319377.1779995</v>
      </c>
      <c r="AB51">
        <v>1040240427</v>
      </c>
      <c r="AC51">
        <v>10466691128.388599</v>
      </c>
      <c r="AD51">
        <f t="shared" si="8"/>
        <v>11506931555.388599</v>
      </c>
      <c r="AE51">
        <v>1208526673</v>
      </c>
      <c r="AF51">
        <v>12802285605.090899</v>
      </c>
      <c r="AG51">
        <f t="shared" si="9"/>
        <v>14010812278.090899</v>
      </c>
      <c r="AH51">
        <v>1289112203</v>
      </c>
      <c r="AI51">
        <v>14178687298.356401</v>
      </c>
      <c r="AJ51">
        <f>SUM($AH$51+$AI$51)</f>
        <v>15467799501.356401</v>
      </c>
      <c r="AK51">
        <v>1535178938</v>
      </c>
      <c r="AL51">
        <v>18266940665.368202</v>
      </c>
      <c r="AM51">
        <f>SUM($AK$51+$AL$51)</f>
        <v>19802119603.368202</v>
      </c>
      <c r="AO51" s="15">
        <f t="shared" si="10"/>
        <v>0.41334557985145048</v>
      </c>
      <c r="AP51" s="16"/>
    </row>
    <row r="52" spans="2:42">
      <c r="B52" t="s">
        <v>229</v>
      </c>
      <c r="C52" t="s">
        <v>218</v>
      </c>
      <c r="D52">
        <v>405876309</v>
      </c>
      <c r="E52">
        <v>2137588168.9793999</v>
      </c>
      <c r="F52">
        <f t="shared" si="0"/>
        <v>2543464477.9793997</v>
      </c>
      <c r="G52">
        <v>405876309</v>
      </c>
      <c r="H52">
        <v>2137588168.9793999</v>
      </c>
      <c r="I52">
        <f t="shared" si="1"/>
        <v>2543464477.9793997</v>
      </c>
      <c r="J52">
        <v>405876309</v>
      </c>
      <c r="K52">
        <v>2137588168.9793999</v>
      </c>
      <c r="L52">
        <f t="shared" si="2"/>
        <v>2543464477.9793997</v>
      </c>
      <c r="M52">
        <v>405876309</v>
      </c>
      <c r="N52">
        <v>2137588168.9793999</v>
      </c>
      <c r="O52">
        <f t="shared" si="3"/>
        <v>2543464477.9793997</v>
      </c>
      <c r="P52">
        <v>405876309</v>
      </c>
      <c r="Q52">
        <v>2137588168.9793999</v>
      </c>
      <c r="R52">
        <f t="shared" si="4"/>
        <v>2543464477.9793997</v>
      </c>
      <c r="S52">
        <v>405876309</v>
      </c>
      <c r="T52">
        <v>2137588168.9793999</v>
      </c>
      <c r="U52">
        <f t="shared" si="5"/>
        <v>2543464477.9793997</v>
      </c>
      <c r="V52">
        <v>405876309</v>
      </c>
      <c r="W52">
        <v>2137588168.9793999</v>
      </c>
      <c r="X52">
        <f t="shared" si="6"/>
        <v>2543464477.9793997</v>
      </c>
      <c r="Y52">
        <v>405876309</v>
      </c>
      <c r="Z52">
        <v>2137588168.9793999</v>
      </c>
      <c r="AA52">
        <f t="shared" si="7"/>
        <v>2543464477.9793997</v>
      </c>
      <c r="AB52">
        <v>405876309</v>
      </c>
      <c r="AC52">
        <v>2137588168.9793999</v>
      </c>
      <c r="AD52">
        <f t="shared" si="8"/>
        <v>2543464477.9793997</v>
      </c>
      <c r="AE52">
        <v>497303165</v>
      </c>
      <c r="AF52">
        <v>2953980800.0999999</v>
      </c>
      <c r="AG52">
        <f t="shared" si="9"/>
        <v>3451283965.0999999</v>
      </c>
      <c r="AH52">
        <v>530016208</v>
      </c>
      <c r="AI52">
        <v>3330038833.2431998</v>
      </c>
      <c r="AJ52">
        <f>SUM($AH$52+$AI$52)</f>
        <v>3860055041.2431998</v>
      </c>
      <c r="AK52">
        <v>809942712</v>
      </c>
      <c r="AL52">
        <v>6117821280.8207998</v>
      </c>
      <c r="AM52">
        <f>SUM($AK$52+$AL$52)</f>
        <v>6927763992.8207998</v>
      </c>
      <c r="AO52" s="15">
        <f t="shared" si="10"/>
        <v>1.0073004895788311</v>
      </c>
      <c r="AP52" s="16"/>
    </row>
    <row r="53" spans="2:42">
      <c r="B53" s="2" t="s">
        <v>37</v>
      </c>
      <c r="C53" t="s">
        <v>38</v>
      </c>
      <c r="D53">
        <v>79615680</v>
      </c>
      <c r="E53">
        <v>112958726.78399999</v>
      </c>
      <c r="F53">
        <f t="shared" si="0"/>
        <v>192574406.78399998</v>
      </c>
      <c r="G53">
        <v>89707960</v>
      </c>
      <c r="H53">
        <v>139226753.91999999</v>
      </c>
      <c r="I53">
        <f t="shared" si="1"/>
        <v>228934713.91999999</v>
      </c>
      <c r="J53">
        <v>81166840</v>
      </c>
      <c r="K53">
        <v>151952441.164</v>
      </c>
      <c r="L53">
        <f t="shared" si="2"/>
        <v>233119281.164</v>
      </c>
      <c r="M53">
        <v>81790615</v>
      </c>
      <c r="N53">
        <v>154044444.29100001</v>
      </c>
      <c r="O53">
        <f t="shared" si="3"/>
        <v>235835059.29100001</v>
      </c>
      <c r="P53">
        <v>100717065</v>
      </c>
      <c r="Q53">
        <v>200719038.83849999</v>
      </c>
      <c r="R53">
        <f t="shared" si="4"/>
        <v>301436103.83850002</v>
      </c>
      <c r="S53">
        <v>123182090</v>
      </c>
      <c r="T53">
        <v>292261826.73399997</v>
      </c>
      <c r="U53">
        <f t="shared" si="5"/>
        <v>415443916.73399997</v>
      </c>
      <c r="V53">
        <v>141496250</v>
      </c>
      <c r="W53">
        <v>342774665.625</v>
      </c>
      <c r="X53">
        <f t="shared" si="6"/>
        <v>484270915.625</v>
      </c>
      <c r="Y53">
        <v>168940098</v>
      </c>
      <c r="Z53">
        <v>420660844.01999998</v>
      </c>
      <c r="AA53">
        <f t="shared" si="7"/>
        <v>589600942.01999998</v>
      </c>
      <c r="AB53">
        <v>172492598</v>
      </c>
      <c r="AC53">
        <v>426574194.85400003</v>
      </c>
      <c r="AD53">
        <f t="shared" si="8"/>
        <v>599066792.85400009</v>
      </c>
      <c r="AE53">
        <v>199389409</v>
      </c>
      <c r="AF53">
        <v>551750372.5848</v>
      </c>
      <c r="AG53">
        <f t="shared" si="9"/>
        <v>751139781.5848</v>
      </c>
      <c r="AH53">
        <v>201209219</v>
      </c>
      <c r="AI53">
        <v>566766128.07920003</v>
      </c>
      <c r="AJ53">
        <f>SUM($AH$53+$AI$53)</f>
        <v>767975347.07920003</v>
      </c>
      <c r="AK53">
        <v>196088697</v>
      </c>
      <c r="AL53">
        <v>605463069.72689998</v>
      </c>
      <c r="AM53">
        <f>SUM($AK$53+$AL$53)</f>
        <v>801551766.72689998</v>
      </c>
      <c r="AO53" s="15"/>
      <c r="AP53" s="16"/>
    </row>
    <row r="54" spans="2:42">
      <c r="B54" t="s">
        <v>128</v>
      </c>
      <c r="C54" t="s">
        <v>129</v>
      </c>
      <c r="D54">
        <v>16530145</v>
      </c>
      <c r="E54">
        <v>4833414.398</v>
      </c>
      <c r="F54">
        <f t="shared" si="0"/>
        <v>21363559.398000002</v>
      </c>
      <c r="G54">
        <v>16662585</v>
      </c>
      <c r="H54">
        <v>5551973.3219999997</v>
      </c>
      <c r="I54">
        <f t="shared" si="1"/>
        <v>22214558.322000001</v>
      </c>
      <c r="J54">
        <v>17778105</v>
      </c>
      <c r="K54">
        <v>7921923.5880000005</v>
      </c>
      <c r="L54">
        <f t="shared" si="2"/>
        <v>25700028.588</v>
      </c>
      <c r="M54">
        <v>18452805</v>
      </c>
      <c r="N54">
        <v>8025124.8945000004</v>
      </c>
      <c r="O54">
        <f t="shared" si="3"/>
        <v>26477929.894500002</v>
      </c>
      <c r="P54">
        <v>20288605</v>
      </c>
      <c r="Q54">
        <v>9077121.8770000003</v>
      </c>
      <c r="R54">
        <f t="shared" si="4"/>
        <v>29365726.877</v>
      </c>
      <c r="S54">
        <v>25624200</v>
      </c>
      <c r="T54">
        <v>14229118.26</v>
      </c>
      <c r="U54">
        <f t="shared" si="5"/>
        <v>39853318.259999998</v>
      </c>
      <c r="V54">
        <v>24348815</v>
      </c>
      <c r="W54">
        <v>13496548.1545</v>
      </c>
      <c r="X54">
        <f t="shared" si="6"/>
        <v>37845363.1545</v>
      </c>
      <c r="Y54">
        <v>63610535</v>
      </c>
      <c r="Z54">
        <v>42358255.256500006</v>
      </c>
      <c r="AA54">
        <f t="shared" si="7"/>
        <v>105968790.25650001</v>
      </c>
      <c r="AB54">
        <v>74772910</v>
      </c>
      <c r="AC54">
        <v>57246139.896000005</v>
      </c>
      <c r="AD54">
        <f t="shared" si="8"/>
        <v>132019049.896</v>
      </c>
      <c r="AE54">
        <v>83872850</v>
      </c>
      <c r="AF54">
        <v>81742479.609999999</v>
      </c>
      <c r="AG54">
        <f t="shared" si="9"/>
        <v>165615329.61000001</v>
      </c>
      <c r="AH54">
        <v>88182750</v>
      </c>
      <c r="AI54">
        <v>92389067.174999997</v>
      </c>
      <c r="AJ54">
        <f>SUM($AH$54+$AI$54)</f>
        <v>180571817.17500001</v>
      </c>
      <c r="AK54">
        <v>115178850</v>
      </c>
      <c r="AL54">
        <v>164556022.995</v>
      </c>
      <c r="AM54">
        <f>SUM($AK$54+$AL$54)</f>
        <v>279734872.995</v>
      </c>
      <c r="AO54" s="15">
        <f t="shared" si="10"/>
        <v>0.68906389072638929</v>
      </c>
      <c r="AP54" s="16"/>
    </row>
    <row r="55" spans="2:42">
      <c r="B55" s="2" t="s">
        <v>48</v>
      </c>
      <c r="C55" s="2" t="s">
        <v>47</v>
      </c>
      <c r="D55">
        <v>245307834</v>
      </c>
      <c r="E55">
        <v>1168940890.5767999</v>
      </c>
      <c r="F55">
        <f t="shared" si="0"/>
        <v>1414248724.5767999</v>
      </c>
      <c r="G55">
        <v>254623999</v>
      </c>
      <c r="H55">
        <v>1247071959.9022999</v>
      </c>
      <c r="I55">
        <f t="shared" si="1"/>
        <v>1501695958.9022999</v>
      </c>
      <c r="J55">
        <v>263907874</v>
      </c>
      <c r="K55">
        <v>1439854969.7566001</v>
      </c>
      <c r="L55">
        <f t="shared" si="2"/>
        <v>1703762843.7566001</v>
      </c>
      <c r="M55">
        <v>265200689</v>
      </c>
      <c r="N55">
        <v>1467461492.5126002</v>
      </c>
      <c r="O55">
        <f t="shared" si="3"/>
        <v>1732662181.5126002</v>
      </c>
      <c r="P55">
        <v>278540474</v>
      </c>
      <c r="Q55">
        <v>1570578316.6963999</v>
      </c>
      <c r="R55">
        <f t="shared" si="4"/>
        <v>1849118790.6963999</v>
      </c>
      <c r="S55">
        <v>343898213</v>
      </c>
      <c r="T55">
        <v>2139528342.3581998</v>
      </c>
      <c r="U55">
        <f t="shared" si="5"/>
        <v>2483426555.3582001</v>
      </c>
      <c r="V55">
        <v>422902273</v>
      </c>
      <c r="W55">
        <v>2796356699.7579002</v>
      </c>
      <c r="X55">
        <f t="shared" si="6"/>
        <v>3219258972.7579002</v>
      </c>
      <c r="Y55">
        <v>534141871</v>
      </c>
      <c r="Z55">
        <v>3853085800.6455998</v>
      </c>
      <c r="AA55">
        <f t="shared" si="7"/>
        <v>4387227671.6455994</v>
      </c>
      <c r="AB55">
        <v>647698621</v>
      </c>
      <c r="AC55">
        <v>4837984849.5595007</v>
      </c>
      <c r="AD55">
        <f t="shared" si="8"/>
        <v>5485683470.5595007</v>
      </c>
      <c r="AE55">
        <v>745894477</v>
      </c>
      <c r="AF55">
        <v>5845575016.2490005</v>
      </c>
      <c r="AG55">
        <f t="shared" si="9"/>
        <v>6591469493.2490005</v>
      </c>
      <c r="AH55">
        <v>783439483</v>
      </c>
      <c r="AI55">
        <v>6233827966.2309999</v>
      </c>
      <c r="AJ55">
        <f>SUM($AH$55+$AI$55)</f>
        <v>7017267449.2309999</v>
      </c>
      <c r="AK55">
        <v>973384423</v>
      </c>
      <c r="AL55">
        <v>8687455975.2749996</v>
      </c>
      <c r="AM55">
        <f>SUM($AK$55+$AL$55)</f>
        <v>9660840398.2749996</v>
      </c>
      <c r="AO55" s="15">
        <f t="shared" si="10"/>
        <v>0.4656580612516914</v>
      </c>
      <c r="AP55" s="16"/>
    </row>
    <row r="56" spans="2:42">
      <c r="B56" s="2" t="s">
        <v>60</v>
      </c>
      <c r="C56" t="s">
        <v>106</v>
      </c>
      <c r="D56">
        <v>290955858</v>
      </c>
      <c r="E56">
        <v>777463148.16179991</v>
      </c>
      <c r="F56">
        <f t="shared" si="0"/>
        <v>1068419006.1617999</v>
      </c>
      <c r="G56">
        <v>308853213</v>
      </c>
      <c r="H56">
        <v>986291850.39419997</v>
      </c>
      <c r="I56">
        <f t="shared" si="1"/>
        <v>1295145063.3941998</v>
      </c>
      <c r="J56">
        <v>305799613</v>
      </c>
      <c r="K56">
        <v>1036324308.4957</v>
      </c>
      <c r="L56">
        <f t="shared" si="2"/>
        <v>1342123921.4956999</v>
      </c>
      <c r="M56">
        <v>305799613</v>
      </c>
      <c r="N56">
        <v>1036324308.4957</v>
      </c>
      <c r="O56">
        <f t="shared" si="3"/>
        <v>1342123921.4956999</v>
      </c>
      <c r="P56">
        <v>287384678</v>
      </c>
      <c r="Q56">
        <v>1020934068.595</v>
      </c>
      <c r="R56">
        <f t="shared" si="4"/>
        <v>1308318746.595</v>
      </c>
      <c r="S56">
        <v>312839014</v>
      </c>
      <c r="T56">
        <v>1249134899.0006001</v>
      </c>
      <c r="U56">
        <f t="shared" si="5"/>
        <v>1561973913.0006001</v>
      </c>
      <c r="V56">
        <v>321847734</v>
      </c>
      <c r="W56">
        <v>1316485971.1536</v>
      </c>
      <c r="X56">
        <f t="shared" si="6"/>
        <v>1638333705.1536</v>
      </c>
      <c r="Y56">
        <v>409888814</v>
      </c>
      <c r="Z56">
        <v>1848762506.6656001</v>
      </c>
      <c r="AA56">
        <f t="shared" si="7"/>
        <v>2258651320.6655998</v>
      </c>
      <c r="AB56">
        <v>435098489</v>
      </c>
      <c r="AC56">
        <v>2030778687.5585999</v>
      </c>
      <c r="AD56">
        <f t="shared" si="8"/>
        <v>2465877176.5585999</v>
      </c>
      <c r="AE56">
        <v>500324655</v>
      </c>
      <c r="AF56">
        <v>2558960480.4629998</v>
      </c>
      <c r="AG56">
        <f t="shared" si="9"/>
        <v>3059285135.4629998</v>
      </c>
      <c r="AH56">
        <v>462748263</v>
      </c>
      <c r="AI56">
        <v>2502218682.5199003</v>
      </c>
      <c r="AJ56">
        <f>SUM($AH$56+$AI$56)</f>
        <v>2964966945.5199003</v>
      </c>
      <c r="AK56">
        <v>585580146</v>
      </c>
      <c r="AL56">
        <v>3669303752.8506002</v>
      </c>
      <c r="AM56">
        <f>SUM($AK$56+$AL$56)</f>
        <v>4254883898.8506002</v>
      </c>
      <c r="AO56" s="15">
        <f t="shared" si="10"/>
        <v>0.39080984950644537</v>
      </c>
      <c r="AP56" s="16"/>
    </row>
    <row r="57" spans="2:42">
      <c r="B57" s="2" t="s">
        <v>44</v>
      </c>
      <c r="C57" t="s">
        <v>43</v>
      </c>
      <c r="D57">
        <v>297627873</v>
      </c>
      <c r="E57">
        <v>1666180358.6286001</v>
      </c>
      <c r="F57">
        <f t="shared" si="0"/>
        <v>1963808231.6286001</v>
      </c>
      <c r="G57">
        <v>311521068</v>
      </c>
      <c r="H57">
        <v>1786635629.1935999</v>
      </c>
      <c r="I57">
        <f t="shared" si="1"/>
        <v>2098156697.1935999</v>
      </c>
      <c r="J57">
        <v>347977352</v>
      </c>
      <c r="K57">
        <v>2172492204.0064001</v>
      </c>
      <c r="L57">
        <f t="shared" si="2"/>
        <v>2520469556.0064001</v>
      </c>
      <c r="M57">
        <v>349357462</v>
      </c>
      <c r="N57">
        <v>2185650153.7644</v>
      </c>
      <c r="O57">
        <f t="shared" si="3"/>
        <v>2535007615.7644</v>
      </c>
      <c r="P57">
        <v>366818002</v>
      </c>
      <c r="Q57">
        <v>2378484606.7681999</v>
      </c>
      <c r="R57">
        <f t="shared" si="4"/>
        <v>2745302608.7681999</v>
      </c>
      <c r="S57">
        <v>410612167</v>
      </c>
      <c r="T57">
        <v>2791793184.6496997</v>
      </c>
      <c r="U57">
        <f t="shared" si="5"/>
        <v>3202405351.6496997</v>
      </c>
      <c r="V57">
        <v>447324897</v>
      </c>
      <c r="W57">
        <v>3115975767.5226002</v>
      </c>
      <c r="X57">
        <f t="shared" si="6"/>
        <v>3563300664.5226002</v>
      </c>
      <c r="Y57">
        <v>508909675</v>
      </c>
      <c r="Z57">
        <v>3694989586.3049998</v>
      </c>
      <c r="AA57">
        <f t="shared" si="7"/>
        <v>4203899261.3049998</v>
      </c>
      <c r="AB57">
        <v>566345030</v>
      </c>
      <c r="AC57">
        <v>4168922400.3330002</v>
      </c>
      <c r="AD57">
        <f t="shared" si="8"/>
        <v>4735267430.3330002</v>
      </c>
      <c r="AE57">
        <v>624942741</v>
      </c>
      <c r="AF57">
        <v>4749252360.2294998</v>
      </c>
      <c r="AG57">
        <f t="shared" si="9"/>
        <v>5374195101.2294998</v>
      </c>
      <c r="AH57">
        <v>644331251</v>
      </c>
      <c r="AI57">
        <v>4930744898.2775002</v>
      </c>
      <c r="AJ57">
        <f>SUM($AH$57+$AI$57)</f>
        <v>5575076149.2775002</v>
      </c>
      <c r="AK57">
        <v>836418931</v>
      </c>
      <c r="AL57">
        <v>7112990231.1170998</v>
      </c>
      <c r="AM57">
        <f>SUM($AK$57+$AL$57)</f>
        <v>7949409162.1170998</v>
      </c>
      <c r="AO57" s="15">
        <f t="shared" si="10"/>
        <v>0.47918134946355906</v>
      </c>
      <c r="AP57" s="16"/>
    </row>
    <row r="58" spans="2:42">
      <c r="B58" s="2" t="s">
        <v>15</v>
      </c>
      <c r="C58" t="s">
        <v>11</v>
      </c>
      <c r="D58">
        <v>65710930</v>
      </c>
      <c r="E58">
        <v>88611189.104999989</v>
      </c>
      <c r="F58">
        <f t="shared" si="0"/>
        <v>154322119.10499999</v>
      </c>
      <c r="G58">
        <v>67442850</v>
      </c>
      <c r="H58">
        <v>97003051.155000001</v>
      </c>
      <c r="I58">
        <f t="shared" si="1"/>
        <v>164445901.155</v>
      </c>
      <c r="J58">
        <v>88067790</v>
      </c>
      <c r="K58">
        <v>188491490.93700001</v>
      </c>
      <c r="L58">
        <f t="shared" si="2"/>
        <v>276559280.93700004</v>
      </c>
      <c r="M58">
        <v>96801426</v>
      </c>
      <c r="N58">
        <v>216641591.38800001</v>
      </c>
      <c r="O58">
        <f t="shared" si="3"/>
        <v>313443017.38800001</v>
      </c>
      <c r="P58">
        <v>116521410</v>
      </c>
      <c r="Q58">
        <v>300951497.74799997</v>
      </c>
      <c r="R58">
        <f t="shared" si="4"/>
        <v>417472907.74799997</v>
      </c>
      <c r="S58">
        <v>164863196</v>
      </c>
      <c r="T58">
        <v>525072792.9404</v>
      </c>
      <c r="U58">
        <f t="shared" si="5"/>
        <v>689935988.9404</v>
      </c>
      <c r="V58">
        <v>205923825</v>
      </c>
      <c r="W58">
        <v>685705744.86750007</v>
      </c>
      <c r="X58">
        <f t="shared" si="6"/>
        <v>891629569.86750007</v>
      </c>
      <c r="Y58">
        <v>263884978</v>
      </c>
      <c r="Z58">
        <v>933150059.20360005</v>
      </c>
      <c r="AA58">
        <f t="shared" si="7"/>
        <v>1197035037.2035999</v>
      </c>
      <c r="AB58">
        <v>294803968</v>
      </c>
      <c r="AC58">
        <v>1077213699.072</v>
      </c>
      <c r="AD58">
        <f t="shared" si="8"/>
        <v>1372017667.072</v>
      </c>
      <c r="AE58">
        <v>342151059</v>
      </c>
      <c r="AF58">
        <v>1344243080.5992</v>
      </c>
      <c r="AG58">
        <f t="shared" si="9"/>
        <v>1686394139.5992</v>
      </c>
      <c r="AH58">
        <v>356831394</v>
      </c>
      <c r="AI58">
        <v>1451875575.9072001</v>
      </c>
      <c r="AJ58">
        <f>SUM($AH$58+$AI$58)</f>
        <v>1808706969.9072001</v>
      </c>
      <c r="AK58">
        <v>473388704</v>
      </c>
      <c r="AL58">
        <v>2283153719.3920002</v>
      </c>
      <c r="AM58">
        <f>SUM($AK$58+$AL$58)</f>
        <v>2756542423.3920002</v>
      </c>
      <c r="AO58" s="15">
        <f t="shared" si="10"/>
        <v>0.63457780044654277</v>
      </c>
      <c r="AP58" s="16"/>
    </row>
    <row r="59" spans="2:42">
      <c r="B59" t="s">
        <v>235</v>
      </c>
      <c r="C59" t="s">
        <v>224</v>
      </c>
      <c r="D59">
        <v>448461791</v>
      </c>
      <c r="E59">
        <v>2139656051.0401001</v>
      </c>
      <c r="F59">
        <f t="shared" si="0"/>
        <v>2588117842.0401001</v>
      </c>
      <c r="G59">
        <v>448461791</v>
      </c>
      <c r="H59">
        <v>2139656051.0401001</v>
      </c>
      <c r="I59">
        <f t="shared" si="1"/>
        <v>2588117842.0401001</v>
      </c>
      <c r="J59">
        <v>448461791</v>
      </c>
      <c r="K59">
        <v>2139656051.0401001</v>
      </c>
      <c r="L59">
        <f t="shared" si="2"/>
        <v>2588117842.0401001</v>
      </c>
      <c r="M59">
        <v>448461791</v>
      </c>
      <c r="N59">
        <v>2139656051.0401001</v>
      </c>
      <c r="O59">
        <f t="shared" si="3"/>
        <v>2588117842.0401001</v>
      </c>
      <c r="P59">
        <v>448461791</v>
      </c>
      <c r="Q59">
        <v>2139656051.0401001</v>
      </c>
      <c r="R59">
        <f t="shared" si="4"/>
        <v>2588117842.0401001</v>
      </c>
      <c r="S59">
        <v>448461791</v>
      </c>
      <c r="T59">
        <v>2139656051.0401001</v>
      </c>
      <c r="U59">
        <f t="shared" si="5"/>
        <v>2588117842.0401001</v>
      </c>
      <c r="V59">
        <v>448461791</v>
      </c>
      <c r="W59">
        <v>2139656051.0401001</v>
      </c>
      <c r="X59">
        <f t="shared" si="6"/>
        <v>2588117842.0401001</v>
      </c>
      <c r="Y59">
        <v>448461791</v>
      </c>
      <c r="Z59">
        <v>2139656051.0401001</v>
      </c>
      <c r="AA59">
        <f t="shared" si="7"/>
        <v>2588117842.0401001</v>
      </c>
      <c r="AB59">
        <v>448461791</v>
      </c>
      <c r="AC59">
        <v>2139656051.0401001</v>
      </c>
      <c r="AD59">
        <f t="shared" si="8"/>
        <v>2588117842.0401001</v>
      </c>
      <c r="AE59">
        <v>448461791</v>
      </c>
      <c r="AF59">
        <v>2139656051.0401001</v>
      </c>
      <c r="AG59">
        <f t="shared" si="9"/>
        <v>2588117842.0401001</v>
      </c>
      <c r="AH59">
        <v>492449091</v>
      </c>
      <c r="AI59">
        <v>2446437839.1789002</v>
      </c>
      <c r="AJ59">
        <f>SUM($AH$59+$AI$59)</f>
        <v>2938886930.1789002</v>
      </c>
      <c r="AK59">
        <v>603116230</v>
      </c>
      <c r="AL59">
        <v>3781176892.3620005</v>
      </c>
      <c r="AM59">
        <f>SUM($AK$59+$AL$59)</f>
        <v>4384293122.3620005</v>
      </c>
      <c r="AO59" s="15">
        <f t="shared" si="10"/>
        <v>0.69400830640155631</v>
      </c>
      <c r="AP59" s="16"/>
    </row>
    <row r="60" spans="2:42">
      <c r="B60" t="s">
        <v>239</v>
      </c>
      <c r="C60" t="s">
        <v>238</v>
      </c>
      <c r="D60">
        <v>300363124</v>
      </c>
      <c r="E60">
        <v>903312059.11760008</v>
      </c>
      <c r="F60">
        <f t="shared" si="0"/>
        <v>1203675183.1176</v>
      </c>
      <c r="G60">
        <v>300363124</v>
      </c>
      <c r="H60">
        <v>903312059.11760008</v>
      </c>
      <c r="I60">
        <f t="shared" si="1"/>
        <v>1203675183.1176</v>
      </c>
      <c r="J60">
        <v>300363124</v>
      </c>
      <c r="K60">
        <v>903312059.11760008</v>
      </c>
      <c r="L60">
        <f t="shared" si="2"/>
        <v>1203675183.1176</v>
      </c>
      <c r="M60">
        <v>300363124</v>
      </c>
      <c r="N60">
        <v>903312059.11760008</v>
      </c>
      <c r="O60">
        <f t="shared" si="3"/>
        <v>1203675183.1176</v>
      </c>
      <c r="P60">
        <v>300363124</v>
      </c>
      <c r="Q60">
        <v>903312059.11760008</v>
      </c>
      <c r="R60">
        <f t="shared" si="4"/>
        <v>1203675183.1176</v>
      </c>
      <c r="S60">
        <v>300363124</v>
      </c>
      <c r="T60">
        <v>903312059.11760008</v>
      </c>
      <c r="U60">
        <f t="shared" si="5"/>
        <v>1203675183.1176</v>
      </c>
      <c r="V60">
        <v>300363124</v>
      </c>
      <c r="W60">
        <v>903312059.11760008</v>
      </c>
      <c r="X60">
        <f t="shared" si="6"/>
        <v>1203675183.1176</v>
      </c>
      <c r="Y60">
        <v>300363124</v>
      </c>
      <c r="Z60">
        <v>903312059.11760008</v>
      </c>
      <c r="AA60">
        <f t="shared" si="7"/>
        <v>1203675183.1176</v>
      </c>
      <c r="AB60">
        <v>300363124</v>
      </c>
      <c r="AC60">
        <v>903312059.11760008</v>
      </c>
      <c r="AD60">
        <f t="shared" si="8"/>
        <v>1203675183.1176</v>
      </c>
      <c r="AE60">
        <v>300363124</v>
      </c>
      <c r="AF60">
        <v>903312059.11760008</v>
      </c>
      <c r="AG60">
        <f t="shared" si="9"/>
        <v>1203675183.1176</v>
      </c>
      <c r="AH60">
        <v>320425089</v>
      </c>
      <c r="AI60">
        <v>1012991876.3645999</v>
      </c>
      <c r="AJ60">
        <f>SUM($AH$60+$AI$60)</f>
        <v>1333416965.3645999</v>
      </c>
      <c r="AK60">
        <v>403335973</v>
      </c>
      <c r="AL60">
        <v>1617296584.5354002</v>
      </c>
      <c r="AM60">
        <f>SUM($AK$60+$AL$60)</f>
        <v>2020632557.5354002</v>
      </c>
      <c r="AO60" s="15">
        <f t="shared" si="10"/>
        <v>0.67871913110464366</v>
      </c>
      <c r="AP60" s="16"/>
    </row>
    <row r="61" spans="2:42">
      <c r="B61" t="s">
        <v>214</v>
      </c>
      <c r="C61" t="s">
        <v>213</v>
      </c>
      <c r="D61">
        <v>295107869</v>
      </c>
      <c r="E61">
        <v>632740781.92289996</v>
      </c>
      <c r="F61">
        <f t="shared" si="0"/>
        <v>927848650.92289996</v>
      </c>
      <c r="G61">
        <v>295107869</v>
      </c>
      <c r="H61">
        <v>632740781.92289996</v>
      </c>
      <c r="I61">
        <f t="shared" si="1"/>
        <v>927848650.92289996</v>
      </c>
      <c r="J61">
        <v>295107869</v>
      </c>
      <c r="K61">
        <v>632740781.92289996</v>
      </c>
      <c r="L61">
        <f t="shared" si="2"/>
        <v>927848650.92289996</v>
      </c>
      <c r="M61">
        <v>295107869</v>
      </c>
      <c r="N61">
        <v>632740781.92289996</v>
      </c>
      <c r="O61">
        <f t="shared" si="3"/>
        <v>927848650.92289996</v>
      </c>
      <c r="P61">
        <v>295107869</v>
      </c>
      <c r="Q61">
        <v>632740781.92289996</v>
      </c>
      <c r="R61">
        <f t="shared" si="4"/>
        <v>927848650.92289996</v>
      </c>
      <c r="S61">
        <v>295107869</v>
      </c>
      <c r="T61">
        <v>632740781.92289996</v>
      </c>
      <c r="U61">
        <f t="shared" si="5"/>
        <v>927848650.92289996</v>
      </c>
      <c r="V61">
        <v>295107869</v>
      </c>
      <c r="W61">
        <v>632740781.92289996</v>
      </c>
      <c r="X61">
        <f t="shared" si="6"/>
        <v>927848650.92289996</v>
      </c>
      <c r="Y61">
        <v>295107869</v>
      </c>
      <c r="Z61">
        <v>632740781.92289996</v>
      </c>
      <c r="AA61">
        <f t="shared" si="7"/>
        <v>927848650.92289996</v>
      </c>
      <c r="AB61">
        <v>295107869</v>
      </c>
      <c r="AC61">
        <v>632740781.92289996</v>
      </c>
      <c r="AD61">
        <f t="shared" si="8"/>
        <v>927848650.92289996</v>
      </c>
      <c r="AE61">
        <v>295107869</v>
      </c>
      <c r="AF61">
        <v>632740781.92289996</v>
      </c>
      <c r="AG61">
        <f t="shared" si="9"/>
        <v>927848650.92289996</v>
      </c>
      <c r="AH61">
        <v>341441549</v>
      </c>
      <c r="AI61">
        <v>924487138.07239997</v>
      </c>
      <c r="AJ61">
        <f>SUM($AH$61+$AI$61)</f>
        <v>1265928687.0724001</v>
      </c>
      <c r="AK61">
        <v>441122559</v>
      </c>
      <c r="AL61">
        <v>1915486487.9457002</v>
      </c>
      <c r="AM61">
        <f>SUM($AK$61+$AL$61)</f>
        <v>2356609046.9457002</v>
      </c>
      <c r="AO61" s="15">
        <f t="shared" si="10"/>
        <v>1.5398636346581527</v>
      </c>
      <c r="AP61" s="16"/>
    </row>
    <row r="62" spans="2:42">
      <c r="B62" t="s">
        <v>211</v>
      </c>
      <c r="C62" t="s">
        <v>210</v>
      </c>
      <c r="D62">
        <v>157951455</v>
      </c>
      <c r="E62">
        <v>271502755.99949998</v>
      </c>
      <c r="F62">
        <f t="shared" si="0"/>
        <v>429454210.99949998</v>
      </c>
      <c r="G62">
        <v>157951455</v>
      </c>
      <c r="H62">
        <v>271502755.99949998</v>
      </c>
      <c r="I62">
        <f t="shared" si="1"/>
        <v>429454210.99949998</v>
      </c>
      <c r="J62">
        <v>157951455</v>
      </c>
      <c r="K62">
        <v>271502755.99949998</v>
      </c>
      <c r="L62">
        <f t="shared" si="2"/>
        <v>429454210.99949998</v>
      </c>
      <c r="M62">
        <v>157951455</v>
      </c>
      <c r="N62">
        <v>271502755.99949998</v>
      </c>
      <c r="O62">
        <f t="shared" si="3"/>
        <v>429454210.99949998</v>
      </c>
      <c r="P62">
        <v>157951455</v>
      </c>
      <c r="Q62">
        <v>271502755.99949998</v>
      </c>
      <c r="R62">
        <f t="shared" si="4"/>
        <v>429454210.99949998</v>
      </c>
      <c r="S62">
        <v>157951455</v>
      </c>
      <c r="T62">
        <v>271502755.99949998</v>
      </c>
      <c r="U62">
        <f t="shared" si="5"/>
        <v>429454210.99949998</v>
      </c>
      <c r="V62">
        <v>157951455</v>
      </c>
      <c r="W62">
        <v>271502755.99949998</v>
      </c>
      <c r="X62">
        <f t="shared" si="6"/>
        <v>429454210.99949998</v>
      </c>
      <c r="Y62">
        <v>157951455</v>
      </c>
      <c r="Z62">
        <v>271502755.99949998</v>
      </c>
      <c r="AA62">
        <f t="shared" si="7"/>
        <v>429454210.99949998</v>
      </c>
      <c r="AB62">
        <v>157951455</v>
      </c>
      <c r="AC62">
        <v>271502755.99949998</v>
      </c>
      <c r="AD62">
        <f t="shared" si="8"/>
        <v>429454210.99949998</v>
      </c>
      <c r="AE62">
        <v>157951455</v>
      </c>
      <c r="AF62">
        <v>271502755.99949998</v>
      </c>
      <c r="AG62">
        <f t="shared" si="9"/>
        <v>429454210.99949998</v>
      </c>
      <c r="AH62">
        <v>327641387</v>
      </c>
      <c r="AI62">
        <v>1312203754.9349999</v>
      </c>
      <c r="AJ62">
        <f>SUM($AH$62+$AI$62)</f>
        <v>1639845141.9349999</v>
      </c>
      <c r="AK62">
        <v>1041826091</v>
      </c>
      <c r="AL62">
        <v>7525630768.3385</v>
      </c>
      <c r="AM62">
        <f>SUM($AK$62+$AL$62)</f>
        <v>8567456859.3385</v>
      </c>
      <c r="AO62" s="15">
        <f t="shared" si="10"/>
        <v>18.949639891523791</v>
      </c>
      <c r="AP62" s="16"/>
    </row>
    <row r="63" spans="2:42">
      <c r="B63" t="s">
        <v>208</v>
      </c>
      <c r="C63" t="s">
        <v>207</v>
      </c>
      <c r="D63">
        <v>196224720</v>
      </c>
      <c r="E63">
        <v>557984613.79200006</v>
      </c>
      <c r="F63">
        <f t="shared" si="0"/>
        <v>754209333.79200006</v>
      </c>
      <c r="G63">
        <v>196224720</v>
      </c>
      <c r="H63">
        <v>557984613.79200006</v>
      </c>
      <c r="I63">
        <f t="shared" si="1"/>
        <v>754209333.79200006</v>
      </c>
      <c r="J63">
        <v>196224720</v>
      </c>
      <c r="K63">
        <v>557984613.79200006</v>
      </c>
      <c r="L63">
        <f t="shared" si="2"/>
        <v>754209333.79200006</v>
      </c>
      <c r="M63">
        <v>196224720</v>
      </c>
      <c r="N63">
        <v>557984613.79200006</v>
      </c>
      <c r="O63">
        <f t="shared" si="3"/>
        <v>754209333.79200006</v>
      </c>
      <c r="P63">
        <v>196224720</v>
      </c>
      <c r="Q63">
        <v>557984613.79200006</v>
      </c>
      <c r="R63">
        <f t="shared" si="4"/>
        <v>754209333.79200006</v>
      </c>
      <c r="S63">
        <v>196224720</v>
      </c>
      <c r="T63">
        <v>557984613.79200006</v>
      </c>
      <c r="U63">
        <f t="shared" si="5"/>
        <v>754209333.79200006</v>
      </c>
      <c r="V63">
        <v>196224720</v>
      </c>
      <c r="W63">
        <v>557984613.79200006</v>
      </c>
      <c r="X63">
        <f t="shared" si="6"/>
        <v>754209333.79200006</v>
      </c>
      <c r="Y63">
        <v>196224720</v>
      </c>
      <c r="Z63">
        <v>557984613.79200006</v>
      </c>
      <c r="AA63">
        <f t="shared" si="7"/>
        <v>754209333.79200006</v>
      </c>
      <c r="AB63">
        <v>196224720</v>
      </c>
      <c r="AC63">
        <v>557984613.79200006</v>
      </c>
      <c r="AD63">
        <f t="shared" si="8"/>
        <v>754209333.79200006</v>
      </c>
      <c r="AE63">
        <v>196224720</v>
      </c>
      <c r="AF63">
        <v>557984613.79200006</v>
      </c>
      <c r="AG63">
        <f t="shared" si="9"/>
        <v>754209333.79200006</v>
      </c>
      <c r="AH63">
        <v>212800983</v>
      </c>
      <c r="AI63">
        <v>639488234.01329994</v>
      </c>
      <c r="AJ63">
        <f>SUM($AH$63+$AI$63)</f>
        <v>852289217.01329994</v>
      </c>
      <c r="AK63">
        <v>277837015</v>
      </c>
      <c r="AL63">
        <v>984987785.57799995</v>
      </c>
      <c r="AM63">
        <f>SUM($AK$63+$AL$63)</f>
        <v>1262824800.5780001</v>
      </c>
      <c r="AO63" s="15">
        <f t="shared" si="10"/>
        <v>0.67436909621469732</v>
      </c>
      <c r="AP63" s="16"/>
    </row>
    <row r="64" spans="2:42">
      <c r="B64" t="s">
        <v>233</v>
      </c>
      <c r="C64" t="s">
        <v>216</v>
      </c>
      <c r="D64">
        <v>194797190</v>
      </c>
      <c r="E64">
        <v>480252992.22600001</v>
      </c>
      <c r="F64">
        <f t="shared" si="0"/>
        <v>675050182.22600007</v>
      </c>
      <c r="G64">
        <v>194797190</v>
      </c>
      <c r="H64">
        <v>480252992.22600001</v>
      </c>
      <c r="I64">
        <f t="shared" si="1"/>
        <v>675050182.22600007</v>
      </c>
      <c r="J64">
        <v>194797190</v>
      </c>
      <c r="K64">
        <v>480252992.22600001</v>
      </c>
      <c r="L64">
        <f t="shared" si="2"/>
        <v>675050182.22600007</v>
      </c>
      <c r="M64">
        <v>194797190</v>
      </c>
      <c r="N64">
        <v>480252992.22600001</v>
      </c>
      <c r="O64">
        <f t="shared" si="3"/>
        <v>675050182.22600007</v>
      </c>
      <c r="P64">
        <v>194797190</v>
      </c>
      <c r="Q64">
        <v>480252992.22600001</v>
      </c>
      <c r="R64">
        <f t="shared" si="4"/>
        <v>675050182.22600007</v>
      </c>
      <c r="S64">
        <v>194797190</v>
      </c>
      <c r="T64">
        <v>480252992.22600001</v>
      </c>
      <c r="U64">
        <f t="shared" si="5"/>
        <v>675050182.22600007</v>
      </c>
      <c r="V64">
        <v>194797190</v>
      </c>
      <c r="W64">
        <v>480252992.22600001</v>
      </c>
      <c r="X64">
        <f t="shared" si="6"/>
        <v>675050182.22600007</v>
      </c>
      <c r="Y64">
        <v>194797190</v>
      </c>
      <c r="Z64">
        <v>480252992.22600001</v>
      </c>
      <c r="AA64">
        <f t="shared" si="7"/>
        <v>675050182.22600007</v>
      </c>
      <c r="AB64">
        <v>194797190</v>
      </c>
      <c r="AC64">
        <v>480252992.22600001</v>
      </c>
      <c r="AD64">
        <f t="shared" si="8"/>
        <v>675050182.22600007</v>
      </c>
      <c r="AE64">
        <v>194797190</v>
      </c>
      <c r="AF64">
        <v>480252992.22600001</v>
      </c>
      <c r="AG64">
        <f t="shared" si="9"/>
        <v>675050182.22600007</v>
      </c>
      <c r="AH64">
        <v>236796903</v>
      </c>
      <c r="AI64">
        <v>655501186.88460004</v>
      </c>
      <c r="AJ64">
        <f>SUM($AH$64+$AI$64)</f>
        <v>892298089.88460004</v>
      </c>
      <c r="AK64">
        <v>349879757</v>
      </c>
      <c r="AL64">
        <v>1242038149.3743</v>
      </c>
      <c r="AM64">
        <f>SUM($AK$64+$AL$64)</f>
        <v>1591917906.3743</v>
      </c>
      <c r="AO64" s="15">
        <f t="shared" si="10"/>
        <v>1.35822157861642</v>
      </c>
      <c r="AP64" s="16"/>
    </row>
    <row r="65" spans="2:42">
      <c r="B65" t="s">
        <v>119</v>
      </c>
      <c r="C65" t="s">
        <v>220</v>
      </c>
      <c r="D65">
        <v>222907328</v>
      </c>
      <c r="E65">
        <v>669680485.51040006</v>
      </c>
      <c r="F65">
        <f t="shared" si="0"/>
        <v>892587813.51040006</v>
      </c>
      <c r="G65">
        <v>222907328</v>
      </c>
      <c r="H65">
        <v>669680485.51040006</v>
      </c>
      <c r="I65">
        <f t="shared" si="1"/>
        <v>892587813.51040006</v>
      </c>
      <c r="J65">
        <v>222907328</v>
      </c>
      <c r="K65">
        <v>669680485.51040006</v>
      </c>
      <c r="L65">
        <f t="shared" si="2"/>
        <v>892587813.51040006</v>
      </c>
      <c r="M65">
        <v>222907328</v>
      </c>
      <c r="N65">
        <v>669680485.51040006</v>
      </c>
      <c r="O65">
        <f t="shared" si="3"/>
        <v>892587813.51040006</v>
      </c>
      <c r="P65">
        <v>222907328</v>
      </c>
      <c r="Q65">
        <v>669680485.51040006</v>
      </c>
      <c r="R65">
        <f t="shared" si="4"/>
        <v>892587813.51040006</v>
      </c>
      <c r="S65">
        <v>222907328</v>
      </c>
      <c r="T65">
        <v>669680485.51040006</v>
      </c>
      <c r="U65">
        <f t="shared" si="5"/>
        <v>892587813.51040006</v>
      </c>
      <c r="V65">
        <v>222907328</v>
      </c>
      <c r="W65">
        <v>669680485.51040006</v>
      </c>
      <c r="X65">
        <f t="shared" si="6"/>
        <v>892587813.51040006</v>
      </c>
      <c r="Y65">
        <v>222907328</v>
      </c>
      <c r="Z65">
        <v>669680485.51040006</v>
      </c>
      <c r="AA65">
        <f t="shared" si="7"/>
        <v>892587813.51040006</v>
      </c>
      <c r="AB65">
        <v>222907328</v>
      </c>
      <c r="AC65">
        <v>669680485.51040006</v>
      </c>
      <c r="AD65">
        <f t="shared" si="8"/>
        <v>892587813.51040006</v>
      </c>
      <c r="AE65">
        <v>222907328</v>
      </c>
      <c r="AF65">
        <v>669680485.51040006</v>
      </c>
      <c r="AG65">
        <f t="shared" si="9"/>
        <v>892587813.51040006</v>
      </c>
      <c r="AH65">
        <v>245079418</v>
      </c>
      <c r="AI65">
        <v>795674838.47880006</v>
      </c>
      <c r="AJ65">
        <f>SUM($AH$65+$AI$65)</f>
        <v>1040754256.4788001</v>
      </c>
      <c r="AK65">
        <v>320982086</v>
      </c>
      <c r="AL65">
        <v>1236358798.8548</v>
      </c>
      <c r="AM65">
        <f>SUM($AK$65+$AL$65)</f>
        <v>1557340884.8548</v>
      </c>
      <c r="AO65" s="15">
        <f t="shared" si="10"/>
        <v>0.74474809232498496</v>
      </c>
      <c r="AP65" s="16"/>
    </row>
    <row r="66" spans="2:42">
      <c r="B66" t="s">
        <v>236</v>
      </c>
      <c r="C66" t="s">
        <v>226</v>
      </c>
      <c r="D66">
        <v>518517362</v>
      </c>
      <c r="E66">
        <v>3057852438.9226003</v>
      </c>
      <c r="F66">
        <f t="shared" si="0"/>
        <v>3576369800.9226003</v>
      </c>
      <c r="G66">
        <v>518517362</v>
      </c>
      <c r="H66">
        <v>3057852438.9226003</v>
      </c>
      <c r="I66">
        <f t="shared" si="1"/>
        <v>3576369800.9226003</v>
      </c>
      <c r="J66">
        <v>518517362</v>
      </c>
      <c r="K66">
        <v>3057852438.9226003</v>
      </c>
      <c r="L66">
        <f t="shared" si="2"/>
        <v>3576369800.9226003</v>
      </c>
      <c r="M66">
        <v>518517362</v>
      </c>
      <c r="N66">
        <v>3057852438.9226003</v>
      </c>
      <c r="O66">
        <f t="shared" si="3"/>
        <v>3576369800.9226003</v>
      </c>
      <c r="P66">
        <v>518517362</v>
      </c>
      <c r="Q66">
        <v>3057852438.9226003</v>
      </c>
      <c r="R66">
        <f t="shared" si="4"/>
        <v>3576369800.9226003</v>
      </c>
      <c r="S66">
        <v>518517362</v>
      </c>
      <c r="T66">
        <v>3057852438.9226003</v>
      </c>
      <c r="U66">
        <f t="shared" si="5"/>
        <v>3576369800.9226003</v>
      </c>
      <c r="V66">
        <v>518517362</v>
      </c>
      <c r="W66">
        <v>3057852438.9226003</v>
      </c>
      <c r="X66">
        <f t="shared" si="6"/>
        <v>3576369800.9226003</v>
      </c>
      <c r="Y66">
        <v>518517362</v>
      </c>
      <c r="Z66">
        <v>3057852438.9226003</v>
      </c>
      <c r="AA66">
        <f t="shared" si="7"/>
        <v>3576369800.9226003</v>
      </c>
      <c r="AB66">
        <v>518517362</v>
      </c>
      <c r="AC66">
        <v>3057852438.9226003</v>
      </c>
      <c r="AD66">
        <f t="shared" si="8"/>
        <v>3576369800.9226003</v>
      </c>
      <c r="AE66">
        <v>518517362</v>
      </c>
      <c r="AF66">
        <v>3057852438.9226003</v>
      </c>
      <c r="AG66">
        <f t="shared" si="9"/>
        <v>3576369800.9226003</v>
      </c>
      <c r="AH66">
        <v>540936937</v>
      </c>
      <c r="AI66">
        <v>3304583748.1329999</v>
      </c>
      <c r="AJ66">
        <f>SUM($AH$66+$AI$66)</f>
        <v>3845520685.1329999</v>
      </c>
      <c r="AK66">
        <v>716664414</v>
      </c>
      <c r="AL66">
        <v>5017869227.5037994</v>
      </c>
      <c r="AM66">
        <f>SUM($AK$66+$AL$66)</f>
        <v>5734533641.5037994</v>
      </c>
      <c r="AO66" s="15">
        <f t="shared" si="10"/>
        <v>0.60345097423215432</v>
      </c>
      <c r="AP66" s="16"/>
    </row>
    <row r="67" spans="2:42">
      <c r="B67" t="s">
        <v>205</v>
      </c>
      <c r="C67" t="s">
        <v>204</v>
      </c>
      <c r="D67">
        <v>96818778</v>
      </c>
      <c r="E67">
        <v>86749625.088</v>
      </c>
      <c r="F67">
        <f t="shared" ref="F67" si="11">SUM(D67+E67)</f>
        <v>183568403.088</v>
      </c>
      <c r="G67">
        <v>96818778</v>
      </c>
      <c r="H67">
        <v>86749625.088</v>
      </c>
      <c r="I67">
        <f t="shared" ref="I67" si="12">SUM(G67+H67)</f>
        <v>183568403.088</v>
      </c>
      <c r="J67">
        <v>96818778</v>
      </c>
      <c r="K67">
        <v>86749625.088</v>
      </c>
      <c r="L67">
        <f t="shared" ref="L67" si="13">SUM(J67+K67)</f>
        <v>183568403.088</v>
      </c>
      <c r="M67">
        <v>96818778</v>
      </c>
      <c r="N67">
        <v>86749625.088</v>
      </c>
      <c r="O67">
        <f t="shared" ref="O67" si="14">SUM(M67+N67)</f>
        <v>183568403.088</v>
      </c>
      <c r="P67">
        <v>96818778</v>
      </c>
      <c r="Q67">
        <v>86749625.088</v>
      </c>
      <c r="R67">
        <f t="shared" ref="R67" si="15">SUM(P67+Q67)</f>
        <v>183568403.088</v>
      </c>
      <c r="S67">
        <v>96818778</v>
      </c>
      <c r="T67">
        <v>86749625.088</v>
      </c>
      <c r="U67">
        <f t="shared" ref="U67" si="16">SUM(S67+T67)</f>
        <v>183568403.088</v>
      </c>
      <c r="V67">
        <v>96818778</v>
      </c>
      <c r="W67">
        <v>86749625.088</v>
      </c>
      <c r="X67">
        <f t="shared" ref="X67" si="17">SUM(V67+W67)</f>
        <v>183568403.088</v>
      </c>
      <c r="Y67">
        <v>96818778</v>
      </c>
      <c r="Z67">
        <v>86749625.088</v>
      </c>
      <c r="AA67">
        <f t="shared" ref="AA67" si="18">SUM(Y67+Z67)</f>
        <v>183568403.088</v>
      </c>
      <c r="AB67">
        <v>96818778</v>
      </c>
      <c r="AC67">
        <v>86749625.088</v>
      </c>
      <c r="AD67">
        <f t="shared" ref="AD67" si="19">SUM(AB67+AC67)</f>
        <v>183568403.088</v>
      </c>
      <c r="AE67">
        <v>96818778</v>
      </c>
      <c r="AF67">
        <v>86749625.088</v>
      </c>
      <c r="AG67">
        <f t="shared" ref="AG67" si="20">SUM(AE67+AF67)</f>
        <v>183568403.088</v>
      </c>
      <c r="AH67">
        <v>105783490</v>
      </c>
      <c r="AI67">
        <v>111241918.08399999</v>
      </c>
      <c r="AJ67">
        <f>SUM($AH$67+$AI$67)</f>
        <v>217025408.08399999</v>
      </c>
      <c r="AK67">
        <v>129962670</v>
      </c>
      <c r="AL67">
        <v>191227072.63799998</v>
      </c>
      <c r="AM67">
        <f>SUM($AK$67+$AL$67)</f>
        <v>321189742.63800001</v>
      </c>
      <c r="AO67" s="15">
        <f t="shared" si="10"/>
        <v>0.74970058700149145</v>
      </c>
      <c r="AP67" s="16"/>
    </row>
    <row r="68" spans="2:42">
      <c r="B68" t="s">
        <v>242</v>
      </c>
      <c r="C68" t="s">
        <v>243</v>
      </c>
      <c r="D68">
        <v>484378408</v>
      </c>
      <c r="E68">
        <v>3539885843.5047998</v>
      </c>
      <c r="F68">
        <f>SUM($D$68+$E$68)</f>
        <v>4024264251.5047998</v>
      </c>
      <c r="G68">
        <v>484378408</v>
      </c>
      <c r="H68">
        <v>3539885843.5047998</v>
      </c>
      <c r="I68">
        <f t="shared" ref="I68" si="21">SUM($D$68+$E$68)</f>
        <v>4024264251.5047998</v>
      </c>
      <c r="J68">
        <v>484378408</v>
      </c>
      <c r="K68">
        <v>3539885843.5047998</v>
      </c>
      <c r="L68">
        <f t="shared" ref="L68" si="22">SUM($D$68+$E$68)</f>
        <v>4024264251.5047998</v>
      </c>
      <c r="M68">
        <v>484378408</v>
      </c>
      <c r="N68">
        <v>3539885843.5047998</v>
      </c>
      <c r="O68">
        <f t="shared" ref="O68" si="23">SUM($D$68+$E$68)</f>
        <v>4024264251.5047998</v>
      </c>
      <c r="P68">
        <v>484378408</v>
      </c>
      <c r="Q68">
        <v>3539885843.5047998</v>
      </c>
      <c r="R68">
        <f t="shared" ref="R68" si="24">SUM($D$68+$E$68)</f>
        <v>4024264251.5047998</v>
      </c>
      <c r="S68">
        <v>484378408</v>
      </c>
      <c r="T68">
        <v>3539885843.5047998</v>
      </c>
      <c r="U68">
        <f t="shared" ref="U68" si="25">SUM($D$68+$E$68)</f>
        <v>4024264251.5047998</v>
      </c>
      <c r="V68">
        <v>484378408</v>
      </c>
      <c r="W68">
        <v>3539885843.5047998</v>
      </c>
      <c r="X68">
        <f t="shared" ref="X68" si="26">SUM($D$68+$E$68)</f>
        <v>4024264251.5047998</v>
      </c>
      <c r="Y68">
        <v>484378408</v>
      </c>
      <c r="Z68">
        <v>3539885843.5047998</v>
      </c>
      <c r="AA68">
        <f t="shared" ref="AA68" si="27">SUM($D$68+$E$68)</f>
        <v>4024264251.5047998</v>
      </c>
      <c r="AB68">
        <v>484378408</v>
      </c>
      <c r="AC68">
        <v>3539885843.5047998</v>
      </c>
      <c r="AD68">
        <f t="shared" ref="AD68" si="28">SUM($D$68+$E$68)</f>
        <v>4024264251.5047998</v>
      </c>
      <c r="AE68">
        <v>484378408</v>
      </c>
      <c r="AF68">
        <v>3539885843.5047998</v>
      </c>
      <c r="AG68">
        <f t="shared" ref="AG68" si="29">SUM($D$68+$E$68)</f>
        <v>4024264251.5047998</v>
      </c>
      <c r="AH68">
        <v>485631102</v>
      </c>
      <c r="AI68">
        <v>3568465900.6061997</v>
      </c>
      <c r="AJ68">
        <f>SUM($AH$68+$AI$68)</f>
        <v>4054097002.6061997</v>
      </c>
      <c r="AK68">
        <v>660890177</v>
      </c>
      <c r="AL68">
        <v>5380108663.9039001</v>
      </c>
      <c r="AM68">
        <f>SUM($AK$68+$AL$68)</f>
        <v>6040998840.9039001</v>
      </c>
      <c r="AO68" s="15">
        <f t="shared" ref="AO68:AO98" si="30">AM68/AG68-1</f>
        <v>0.50114367828727424</v>
      </c>
      <c r="AP68" s="16"/>
    </row>
    <row r="69" spans="2:42">
      <c r="B69" t="s">
        <v>246</v>
      </c>
      <c r="C69" t="s">
        <v>245</v>
      </c>
      <c r="D69">
        <v>334742014</v>
      </c>
      <c r="E69">
        <v>1080748066.4004002</v>
      </c>
      <c r="F69">
        <f>SUM($D$69+$E$69)</f>
        <v>1415490080.4004002</v>
      </c>
      <c r="G69">
        <v>334742014</v>
      </c>
      <c r="H69">
        <v>1080748066.4004002</v>
      </c>
      <c r="I69">
        <f t="shared" ref="I69" si="31">SUM($D$69+$E$69)</f>
        <v>1415490080.4004002</v>
      </c>
      <c r="J69">
        <v>334742014</v>
      </c>
      <c r="K69">
        <v>1080748066.4004002</v>
      </c>
      <c r="L69">
        <f t="shared" ref="L69" si="32">SUM($D$69+$E$69)</f>
        <v>1415490080.4004002</v>
      </c>
      <c r="M69">
        <v>334742014</v>
      </c>
      <c r="N69">
        <v>1080748066.4004002</v>
      </c>
      <c r="O69">
        <f t="shared" ref="O69" si="33">SUM($D$69+$E$69)</f>
        <v>1415490080.4004002</v>
      </c>
      <c r="P69">
        <v>334742014</v>
      </c>
      <c r="Q69">
        <v>1080748066.4004002</v>
      </c>
      <c r="R69">
        <f t="shared" ref="R69" si="34">SUM($D$69+$E$69)</f>
        <v>1415490080.4004002</v>
      </c>
      <c r="S69">
        <v>334742014</v>
      </c>
      <c r="T69">
        <v>1080748066.4004002</v>
      </c>
      <c r="U69">
        <f t="shared" ref="U69" si="35">SUM($D$69+$E$69)</f>
        <v>1415490080.4004002</v>
      </c>
      <c r="V69">
        <v>334742014</v>
      </c>
      <c r="W69">
        <v>1080748066.4004002</v>
      </c>
      <c r="X69">
        <f t="shared" ref="X69" si="36">SUM($D$69+$E$69)</f>
        <v>1415490080.4004002</v>
      </c>
      <c r="Y69">
        <v>334742014</v>
      </c>
      <c r="Z69">
        <v>1080748066.4004002</v>
      </c>
      <c r="AA69">
        <f t="shared" ref="AA69" si="37">SUM($D$69+$E$69)</f>
        <v>1415490080.4004002</v>
      </c>
      <c r="AB69">
        <v>334742014</v>
      </c>
      <c r="AC69">
        <v>1080748066.4004002</v>
      </c>
      <c r="AD69">
        <f t="shared" ref="AD69" si="38">SUM($D$69+$E$69)</f>
        <v>1415490080.4004002</v>
      </c>
      <c r="AE69">
        <v>334742014</v>
      </c>
      <c r="AF69">
        <v>1080748066.4004002</v>
      </c>
      <c r="AG69">
        <f t="shared" ref="AG69" si="39">SUM($D$69+$E$69)</f>
        <v>1415490080.4004002</v>
      </c>
      <c r="AH69">
        <v>333158014</v>
      </c>
      <c r="AI69">
        <v>1100787394.0574</v>
      </c>
      <c r="AJ69">
        <f>SUM($AH$69+$AI$69)</f>
        <v>1433945408.0574</v>
      </c>
      <c r="AK69">
        <v>395979887</v>
      </c>
      <c r="AL69">
        <v>1506703470.0350001</v>
      </c>
      <c r="AM69">
        <f>SUM($AK$69+$AL$69)</f>
        <v>1902683357.0350001</v>
      </c>
      <c r="AO69" s="15">
        <f t="shared" si="30"/>
        <v>0.34418699458267299</v>
      </c>
      <c r="AP69" s="16"/>
    </row>
    <row r="70" spans="2:42">
      <c r="B70" t="s">
        <v>249</v>
      </c>
      <c r="C70" t="s">
        <v>247</v>
      </c>
      <c r="D70">
        <v>203513018</v>
      </c>
      <c r="E70">
        <v>763377330.51800001</v>
      </c>
      <c r="F70">
        <f>SUM($D$70+$E$70)</f>
        <v>966890348.51800001</v>
      </c>
      <c r="G70">
        <v>203513018</v>
      </c>
      <c r="H70">
        <v>763377330.51800001</v>
      </c>
      <c r="I70">
        <f t="shared" ref="I70" si="40">SUM($D$70+$E$70)</f>
        <v>966890348.51800001</v>
      </c>
      <c r="J70">
        <v>203513018</v>
      </c>
      <c r="K70">
        <v>763377330.51800001</v>
      </c>
      <c r="L70">
        <f t="shared" ref="L70" si="41">SUM($D$70+$E$70)</f>
        <v>966890348.51800001</v>
      </c>
      <c r="M70">
        <v>203513018</v>
      </c>
      <c r="N70">
        <v>763377330.51800001</v>
      </c>
      <c r="O70">
        <f t="shared" ref="O70" si="42">SUM($D$70+$E$70)</f>
        <v>966890348.51800001</v>
      </c>
      <c r="P70">
        <v>203513018</v>
      </c>
      <c r="Q70">
        <v>763377330.51800001</v>
      </c>
      <c r="R70">
        <f t="shared" ref="R70" si="43">SUM($D$70+$E$70)</f>
        <v>966890348.51800001</v>
      </c>
      <c r="S70">
        <v>203513018</v>
      </c>
      <c r="T70">
        <v>763377330.51800001</v>
      </c>
      <c r="U70">
        <f t="shared" ref="U70" si="44">SUM($D$70+$E$70)</f>
        <v>966890348.51800001</v>
      </c>
      <c r="V70">
        <v>203513018</v>
      </c>
      <c r="W70">
        <v>763377330.51800001</v>
      </c>
      <c r="X70">
        <f t="shared" ref="X70" si="45">SUM($D$70+$E$70)</f>
        <v>966890348.51800001</v>
      </c>
      <c r="Y70">
        <v>203513018</v>
      </c>
      <c r="Z70">
        <v>763377330.51800001</v>
      </c>
      <c r="AA70">
        <f t="shared" ref="AA70" si="46">SUM($D$70+$E$70)</f>
        <v>966890348.51800001</v>
      </c>
      <c r="AB70">
        <v>203513018</v>
      </c>
      <c r="AC70">
        <v>763377330.51800001</v>
      </c>
      <c r="AD70">
        <f t="shared" ref="AD70" si="47">SUM($D$70+$E$70)</f>
        <v>966890348.51800001</v>
      </c>
      <c r="AE70">
        <v>203513018</v>
      </c>
      <c r="AF70">
        <v>763377330.51800001</v>
      </c>
      <c r="AG70">
        <f t="shared" ref="AG70" si="48">SUM($D$70+$E$70)</f>
        <v>966890348.51800001</v>
      </c>
      <c r="AH70">
        <v>205461098</v>
      </c>
      <c r="AI70">
        <v>777690802.03979993</v>
      </c>
      <c r="AJ70">
        <f>SUM($AH$70+$AI$70)</f>
        <v>983151900.03979993</v>
      </c>
      <c r="AK70">
        <v>287966892</v>
      </c>
      <c r="AL70">
        <v>1228553151.3396001</v>
      </c>
      <c r="AM70">
        <f>SUM($AK$70+$AL$70)</f>
        <v>1516520043.3396001</v>
      </c>
      <c r="AO70" s="15">
        <f t="shared" si="30"/>
        <v>0.56845090621086891</v>
      </c>
      <c r="AP70" s="16"/>
    </row>
    <row r="71" spans="2:42">
      <c r="B71" t="s">
        <v>252</v>
      </c>
      <c r="C71" t="s">
        <v>251</v>
      </c>
      <c r="D71">
        <v>201354184</v>
      </c>
      <c r="E71">
        <v>706712915.00320005</v>
      </c>
      <c r="F71">
        <f>SUM($D$71+$E$71)</f>
        <v>908067099.00320005</v>
      </c>
      <c r="G71">
        <v>201354184</v>
      </c>
      <c r="H71">
        <v>706712915.00320005</v>
      </c>
      <c r="I71">
        <f t="shared" ref="I71" si="49">SUM($D$71+$E$71)</f>
        <v>908067099.00320005</v>
      </c>
      <c r="J71">
        <v>201354184</v>
      </c>
      <c r="K71">
        <v>706712915.00320005</v>
      </c>
      <c r="L71">
        <f t="shared" ref="L71" si="50">SUM($D$71+$E$71)</f>
        <v>908067099.00320005</v>
      </c>
      <c r="M71">
        <v>201354184</v>
      </c>
      <c r="N71">
        <v>706712915.00320005</v>
      </c>
      <c r="O71">
        <f t="shared" ref="O71" si="51">SUM($D$71+$E$71)</f>
        <v>908067099.00320005</v>
      </c>
      <c r="P71">
        <v>201354184</v>
      </c>
      <c r="Q71">
        <v>706712915.00320005</v>
      </c>
      <c r="R71">
        <f t="shared" ref="R71" si="52">SUM($D$71+$E$71)</f>
        <v>908067099.00320005</v>
      </c>
      <c r="S71">
        <v>201354184</v>
      </c>
      <c r="T71">
        <v>706712915.00320005</v>
      </c>
      <c r="U71">
        <f t="shared" ref="U71" si="53">SUM($D$71+$E$71)</f>
        <v>908067099.00320005</v>
      </c>
      <c r="V71">
        <v>201354184</v>
      </c>
      <c r="W71">
        <v>706712915.00320005</v>
      </c>
      <c r="X71">
        <f t="shared" ref="X71" si="54">SUM($D$71+$E$71)</f>
        <v>908067099.00320005</v>
      </c>
      <c r="Y71">
        <v>201354184</v>
      </c>
      <c r="Z71">
        <v>706712915.00320005</v>
      </c>
      <c r="AA71">
        <f t="shared" ref="AA71" si="55">SUM($D$71+$E$71)</f>
        <v>908067099.00320005</v>
      </c>
      <c r="AB71">
        <v>201354184</v>
      </c>
      <c r="AC71">
        <v>706712915.00320005</v>
      </c>
      <c r="AD71">
        <f t="shared" ref="AD71" si="56">SUM($D$71+$E$71)</f>
        <v>908067099.00320005</v>
      </c>
      <c r="AE71">
        <v>201354184</v>
      </c>
      <c r="AF71">
        <v>706712915.00320005</v>
      </c>
      <c r="AG71">
        <f t="shared" ref="AG71" si="57">SUM($D$71+$E$71)</f>
        <v>908067099.00320005</v>
      </c>
      <c r="AH71">
        <v>210369772</v>
      </c>
      <c r="AI71">
        <v>754070447.73399997</v>
      </c>
      <c r="AJ71">
        <f>SUM($AH$71+$AI$71)</f>
        <v>964440219.73399997</v>
      </c>
      <c r="AK71">
        <v>269201227</v>
      </c>
      <c r="AL71">
        <v>1162760859.7811</v>
      </c>
      <c r="AM71">
        <f>SUM($AK$71+$AL$71)</f>
        <v>1431962086.7811</v>
      </c>
      <c r="AO71" s="15">
        <f t="shared" si="30"/>
        <v>0.57693422474284994</v>
      </c>
      <c r="AP71" s="16"/>
    </row>
    <row r="72" spans="2:42">
      <c r="B72" s="2" t="s">
        <v>255</v>
      </c>
      <c r="C72" t="s">
        <v>254</v>
      </c>
      <c r="D72">
        <v>981118899</v>
      </c>
      <c r="E72">
        <v>7864060423.0445995</v>
      </c>
      <c r="F72">
        <f>SUM($D$72+$E$72)</f>
        <v>8845179322.0445995</v>
      </c>
      <c r="G72">
        <v>981118899</v>
      </c>
      <c r="H72">
        <v>7864060423.0445995</v>
      </c>
      <c r="I72">
        <f t="shared" ref="I72" si="58">SUM($D$72+$E$72)</f>
        <v>8845179322.0445995</v>
      </c>
      <c r="J72">
        <v>981118899</v>
      </c>
      <c r="K72">
        <v>7864060423.0445995</v>
      </c>
      <c r="L72">
        <f t="shared" ref="L72" si="59">SUM($D$72+$E$72)</f>
        <v>8845179322.0445995</v>
      </c>
      <c r="M72">
        <v>981118899</v>
      </c>
      <c r="N72">
        <v>7864060423.0445995</v>
      </c>
      <c r="O72">
        <f t="shared" ref="O72" si="60">SUM($D$72+$E$72)</f>
        <v>8845179322.0445995</v>
      </c>
      <c r="P72">
        <v>981118899</v>
      </c>
      <c r="Q72">
        <v>7864060423.0445995</v>
      </c>
      <c r="R72">
        <f t="shared" ref="R72" si="61">SUM($D$72+$E$72)</f>
        <v>8845179322.0445995</v>
      </c>
      <c r="S72">
        <v>981118899</v>
      </c>
      <c r="T72">
        <v>7864060423.0445995</v>
      </c>
      <c r="U72">
        <f t="shared" ref="U72" si="62">SUM($D$72+$E$72)</f>
        <v>8845179322.0445995</v>
      </c>
      <c r="V72">
        <v>981118899</v>
      </c>
      <c r="W72">
        <v>7864060423.0445995</v>
      </c>
      <c r="X72">
        <f t="shared" ref="X72" si="63">SUM($D$72+$E$72)</f>
        <v>8845179322.0445995</v>
      </c>
      <c r="Y72">
        <v>981118899</v>
      </c>
      <c r="Z72">
        <v>7864060423.0445995</v>
      </c>
      <c r="AA72">
        <f t="shared" ref="AA72" si="64">SUM($D$72+$E$72)</f>
        <v>8845179322.0445995</v>
      </c>
      <c r="AB72">
        <v>981118899</v>
      </c>
      <c r="AC72">
        <v>7864060423.0445995</v>
      </c>
      <c r="AD72">
        <f t="shared" ref="AD72" si="65">SUM($D$72+$E$72)</f>
        <v>8845179322.0445995</v>
      </c>
      <c r="AE72">
        <v>981118899</v>
      </c>
      <c r="AF72">
        <v>7864060423.0445995</v>
      </c>
      <c r="AG72">
        <f t="shared" ref="AG72" si="66">SUM($D$72+$E$72)</f>
        <v>8845179322.0445995</v>
      </c>
      <c r="AH72">
        <v>1012819344</v>
      </c>
      <c r="AI72">
        <v>8189353369.7808008</v>
      </c>
      <c r="AJ72">
        <f>SUM($AH$72+$AI$72)</f>
        <v>9202172713.7807999</v>
      </c>
      <c r="AK72">
        <v>1395466472</v>
      </c>
      <c r="AL72">
        <v>13546909416.881599</v>
      </c>
      <c r="AM72">
        <f>SUM($AK$72+$AL$72)</f>
        <v>14942375888.881599</v>
      </c>
      <c r="AO72" s="15">
        <f t="shared" si="30"/>
        <v>0.68932424599251751</v>
      </c>
      <c r="AP72" s="16"/>
    </row>
    <row r="73" spans="2:42">
      <c r="B73" t="s">
        <v>259</v>
      </c>
      <c r="C73" t="s">
        <v>257</v>
      </c>
      <c r="D73">
        <v>34634485</v>
      </c>
      <c r="E73">
        <v>35812057.490000002</v>
      </c>
      <c r="F73">
        <f>SUM($D$73+$E$73)</f>
        <v>70446542.49000001</v>
      </c>
      <c r="G73">
        <v>34634485</v>
      </c>
      <c r="H73">
        <v>35812057.490000002</v>
      </c>
      <c r="I73">
        <f t="shared" ref="I73" si="67">SUM($D$73+$E$73)</f>
        <v>70446542.49000001</v>
      </c>
      <c r="J73">
        <v>34634485</v>
      </c>
      <c r="K73">
        <v>35812057.490000002</v>
      </c>
      <c r="L73">
        <f t="shared" ref="L73" si="68">SUM($D$73+$E$73)</f>
        <v>70446542.49000001</v>
      </c>
      <c r="M73">
        <v>34634485</v>
      </c>
      <c r="N73">
        <v>35812057.490000002</v>
      </c>
      <c r="O73">
        <f t="shared" ref="O73" si="69">SUM($D$73+$E$73)</f>
        <v>70446542.49000001</v>
      </c>
      <c r="P73">
        <v>34634485</v>
      </c>
      <c r="Q73">
        <v>35812057.490000002</v>
      </c>
      <c r="R73">
        <f t="shared" ref="R73" si="70">SUM($D$73+$E$73)</f>
        <v>70446542.49000001</v>
      </c>
      <c r="S73">
        <v>34634485</v>
      </c>
      <c r="T73">
        <v>35812057.490000002</v>
      </c>
      <c r="U73">
        <f t="shared" ref="U73" si="71">SUM($D$73+$E$73)</f>
        <v>70446542.49000001</v>
      </c>
      <c r="V73">
        <v>34634485</v>
      </c>
      <c r="W73">
        <v>35812057.490000002</v>
      </c>
      <c r="X73">
        <f t="shared" ref="X73" si="72">SUM($D$73+$E$73)</f>
        <v>70446542.49000001</v>
      </c>
      <c r="Y73">
        <v>34634485</v>
      </c>
      <c r="Z73">
        <v>35812057.490000002</v>
      </c>
      <c r="AA73">
        <f t="shared" ref="AA73" si="73">SUM($D$73+$E$73)</f>
        <v>70446542.49000001</v>
      </c>
      <c r="AB73">
        <v>34634485</v>
      </c>
      <c r="AC73">
        <v>35812057.490000002</v>
      </c>
      <c r="AD73">
        <f t="shared" ref="AD73" si="74">SUM($D$73+$E$73)</f>
        <v>70446542.49000001</v>
      </c>
      <c r="AE73">
        <v>34634485</v>
      </c>
      <c r="AF73">
        <v>35812057.490000002</v>
      </c>
      <c r="AG73">
        <f t="shared" ref="AG73" si="75">SUM($D$73+$E$73)</f>
        <v>70446542.49000001</v>
      </c>
      <c r="AH73">
        <v>34634485</v>
      </c>
      <c r="AI73">
        <v>35812057.490000002</v>
      </c>
      <c r="AJ73">
        <f>SUM($AH$73+$AI$73)</f>
        <v>70446542.49000001</v>
      </c>
      <c r="AK73">
        <v>41554813</v>
      </c>
      <c r="AL73">
        <v>49674623.460200004</v>
      </c>
      <c r="AM73">
        <f>SUM($AK$73+$AL$73)</f>
        <v>91229436.460200012</v>
      </c>
      <c r="AO73" s="15">
        <f t="shared" si="30"/>
        <v>0.2950165222537382</v>
      </c>
      <c r="AP73" s="16"/>
    </row>
    <row r="74" spans="2:42">
      <c r="B74" t="s">
        <v>268</v>
      </c>
      <c r="C74" t="s">
        <v>261</v>
      </c>
      <c r="D74">
        <v>116965944</v>
      </c>
      <c r="E74">
        <v>187554891.204</v>
      </c>
      <c r="F74">
        <f>SUM($D$74+$E$74)</f>
        <v>304520835.204</v>
      </c>
      <c r="G74">
        <v>116965944</v>
      </c>
      <c r="H74">
        <v>187554891.204</v>
      </c>
      <c r="I74">
        <f t="shared" ref="I74" si="76">SUM($D$74+$E$74)</f>
        <v>304520835.204</v>
      </c>
      <c r="J74">
        <v>116965944</v>
      </c>
      <c r="K74">
        <v>187554891.204</v>
      </c>
      <c r="L74">
        <f t="shared" ref="L74" si="77">SUM($D$74+$E$74)</f>
        <v>304520835.204</v>
      </c>
      <c r="M74">
        <v>116965944</v>
      </c>
      <c r="N74">
        <v>187554891.204</v>
      </c>
      <c r="O74">
        <f t="shared" ref="O74" si="78">SUM($D$74+$E$74)</f>
        <v>304520835.204</v>
      </c>
      <c r="P74">
        <v>116965944</v>
      </c>
      <c r="Q74">
        <v>187554891.204</v>
      </c>
      <c r="R74">
        <f t="shared" ref="R74" si="79">SUM($D$74+$E$74)</f>
        <v>304520835.204</v>
      </c>
      <c r="S74">
        <v>116965944</v>
      </c>
      <c r="T74">
        <v>187554891.204</v>
      </c>
      <c r="U74">
        <f t="shared" ref="U74" si="80">SUM($D$74+$E$74)</f>
        <v>304520835.204</v>
      </c>
      <c r="V74">
        <v>116965944</v>
      </c>
      <c r="W74">
        <v>187554891.204</v>
      </c>
      <c r="X74">
        <f t="shared" ref="X74" si="81">SUM($D$74+$E$74)</f>
        <v>304520835.204</v>
      </c>
      <c r="Y74">
        <v>116965944</v>
      </c>
      <c r="Z74">
        <v>187554891.204</v>
      </c>
      <c r="AA74">
        <f t="shared" ref="AA74" si="82">SUM($D$74+$E$74)</f>
        <v>304520835.204</v>
      </c>
      <c r="AB74">
        <v>116965944</v>
      </c>
      <c r="AC74">
        <v>187554891.204</v>
      </c>
      <c r="AD74">
        <f t="shared" ref="AD74" si="83">SUM($D$74+$E$74)</f>
        <v>304520835.204</v>
      </c>
      <c r="AE74">
        <v>116965944</v>
      </c>
      <c r="AF74">
        <v>187554891.204</v>
      </c>
      <c r="AG74">
        <f t="shared" ref="AG74" si="84">SUM($D$74+$E$74)</f>
        <v>304520835.204</v>
      </c>
      <c r="AH74">
        <v>116965944</v>
      </c>
      <c r="AI74">
        <v>187554891.204</v>
      </c>
      <c r="AJ74">
        <f t="shared" ref="AJ74" si="85">SUM($D$74+$E$74)</f>
        <v>304520835.204</v>
      </c>
      <c r="AK74">
        <v>145038192</v>
      </c>
      <c r="AL74">
        <v>309714555.19679999</v>
      </c>
      <c r="AM74">
        <f>SUM($AK$74+$AL$74)</f>
        <v>454752747.19679999</v>
      </c>
      <c r="AO74" s="15">
        <f t="shared" si="30"/>
        <v>0.49333869681579889</v>
      </c>
      <c r="AP74" s="16"/>
    </row>
    <row r="75" spans="2:42">
      <c r="B75" t="s">
        <v>269</v>
      </c>
      <c r="C75" t="s">
        <v>263</v>
      </c>
      <c r="D75">
        <v>125376943</v>
      </c>
      <c r="E75">
        <v>261699293.1239</v>
      </c>
      <c r="F75">
        <f>SUM($D$75+$E$75)</f>
        <v>387076236.1239</v>
      </c>
      <c r="G75">
        <v>125376943</v>
      </c>
      <c r="H75">
        <v>261699293.1239</v>
      </c>
      <c r="I75">
        <f t="shared" ref="I75" si="86">SUM($D$75+$E$75)</f>
        <v>387076236.1239</v>
      </c>
      <c r="J75">
        <v>125376943</v>
      </c>
      <c r="K75">
        <v>261699293.1239</v>
      </c>
      <c r="L75">
        <f t="shared" ref="L75" si="87">SUM($D$75+$E$75)</f>
        <v>387076236.1239</v>
      </c>
      <c r="M75">
        <v>125376943</v>
      </c>
      <c r="N75">
        <v>261699293.1239</v>
      </c>
      <c r="O75">
        <f t="shared" ref="O75" si="88">SUM($D$75+$E$75)</f>
        <v>387076236.1239</v>
      </c>
      <c r="P75">
        <v>125376943</v>
      </c>
      <c r="Q75">
        <v>261699293.1239</v>
      </c>
      <c r="R75">
        <f t="shared" ref="R75" si="89">SUM($D$75+$E$75)</f>
        <v>387076236.1239</v>
      </c>
      <c r="S75">
        <v>125376943</v>
      </c>
      <c r="T75">
        <v>261699293.1239</v>
      </c>
      <c r="U75">
        <f t="shared" ref="U75" si="90">SUM($D$75+$E$75)</f>
        <v>387076236.1239</v>
      </c>
      <c r="V75">
        <v>125376943</v>
      </c>
      <c r="W75">
        <v>261699293.1239</v>
      </c>
      <c r="X75">
        <f t="shared" ref="X75" si="91">SUM($D$75+$E$75)</f>
        <v>387076236.1239</v>
      </c>
      <c r="Y75">
        <v>125376943</v>
      </c>
      <c r="Z75">
        <v>261699293.1239</v>
      </c>
      <c r="AA75">
        <f t="shared" ref="AA75" si="92">SUM($D$75+$E$75)</f>
        <v>387076236.1239</v>
      </c>
      <c r="AB75">
        <v>125376943</v>
      </c>
      <c r="AC75">
        <v>261699293.1239</v>
      </c>
      <c r="AD75">
        <f t="shared" ref="AD75" si="93">SUM($D$75+$E$75)</f>
        <v>387076236.1239</v>
      </c>
      <c r="AE75">
        <v>125376943</v>
      </c>
      <c r="AF75">
        <v>261699293.1239</v>
      </c>
      <c r="AG75">
        <f t="shared" ref="AG75" si="94">SUM($D$75+$E$75)</f>
        <v>387076236.1239</v>
      </c>
      <c r="AH75">
        <v>125376943</v>
      </c>
      <c r="AI75">
        <v>261699293.1239</v>
      </c>
      <c r="AJ75">
        <f t="shared" ref="AJ75" si="95">SUM($D$75+$E$75)</f>
        <v>387076236.1239</v>
      </c>
      <c r="AK75">
        <v>151836276</v>
      </c>
      <c r="AL75">
        <v>415940294.47439998</v>
      </c>
      <c r="AM75">
        <f>SUM($AK$75+$AL$75)</f>
        <v>567776570.47440004</v>
      </c>
      <c r="AO75" s="15">
        <f t="shared" si="30"/>
        <v>0.4668339657324232</v>
      </c>
      <c r="AP75" s="16"/>
    </row>
    <row r="76" spans="2:42">
      <c r="B76" t="s">
        <v>270</v>
      </c>
      <c r="C76" t="s">
        <v>265</v>
      </c>
      <c r="D76">
        <v>311930739</v>
      </c>
      <c r="E76">
        <v>1487909625.03</v>
      </c>
      <c r="F76">
        <f>SUM($D$76+$E$76)</f>
        <v>1799840364.03</v>
      </c>
      <c r="G76">
        <v>311930739</v>
      </c>
      <c r="H76">
        <v>1487909625.03</v>
      </c>
      <c r="I76">
        <f t="shared" ref="I76" si="96">SUM($D$76+$E$76)</f>
        <v>1799840364.03</v>
      </c>
      <c r="J76">
        <v>311930739</v>
      </c>
      <c r="K76">
        <v>1487909625.03</v>
      </c>
      <c r="L76">
        <f t="shared" ref="L76" si="97">SUM($D$76+$E$76)</f>
        <v>1799840364.03</v>
      </c>
      <c r="M76">
        <v>311930739</v>
      </c>
      <c r="N76">
        <v>1487909625.03</v>
      </c>
      <c r="O76">
        <f t="shared" ref="O76" si="98">SUM($D$76+$E$76)</f>
        <v>1799840364.03</v>
      </c>
      <c r="P76">
        <v>311930739</v>
      </c>
      <c r="Q76">
        <v>1487909625.03</v>
      </c>
      <c r="R76">
        <f t="shared" ref="R76" si="99">SUM($D$76+$E$76)</f>
        <v>1799840364.03</v>
      </c>
      <c r="S76">
        <v>311930739</v>
      </c>
      <c r="T76">
        <v>1487909625.03</v>
      </c>
      <c r="U76">
        <f t="shared" ref="U76" si="100">SUM($D$76+$E$76)</f>
        <v>1799840364.03</v>
      </c>
      <c r="V76">
        <v>311930739</v>
      </c>
      <c r="W76">
        <v>1487909625.03</v>
      </c>
      <c r="X76">
        <f t="shared" ref="X76" si="101">SUM($D$76+$E$76)</f>
        <v>1799840364.03</v>
      </c>
      <c r="Y76">
        <v>311930739</v>
      </c>
      <c r="Z76">
        <v>1487909625.03</v>
      </c>
      <c r="AA76">
        <f t="shared" ref="AA76" si="102">SUM($D$76+$E$76)</f>
        <v>1799840364.03</v>
      </c>
      <c r="AB76">
        <v>311930739</v>
      </c>
      <c r="AC76">
        <v>1487909625.03</v>
      </c>
      <c r="AD76">
        <f t="shared" ref="AD76" si="103">SUM($D$76+$E$76)</f>
        <v>1799840364.03</v>
      </c>
      <c r="AE76">
        <v>311930739</v>
      </c>
      <c r="AF76">
        <v>1487909625.03</v>
      </c>
      <c r="AG76">
        <f t="shared" ref="AG76" si="104">SUM($D$76+$E$76)</f>
        <v>1799840364.03</v>
      </c>
      <c r="AH76">
        <v>311930739</v>
      </c>
      <c r="AI76">
        <v>1487909625.03</v>
      </c>
      <c r="AJ76">
        <f t="shared" ref="AJ76" si="105">SUM($D$76+$E$76)</f>
        <v>1799840364.03</v>
      </c>
      <c r="AK76">
        <v>411507531</v>
      </c>
      <c r="AL76">
        <v>2507768044.6671</v>
      </c>
      <c r="AM76">
        <f>SUM($AK$76+$AL$76)</f>
        <v>2919275575.6671</v>
      </c>
      <c r="AO76" s="15">
        <f t="shared" si="30"/>
        <v>0.62196361077856177</v>
      </c>
      <c r="AP76" s="16"/>
    </row>
    <row r="77" spans="2:42">
      <c r="B77" t="s">
        <v>271</v>
      </c>
      <c r="C77" t="s">
        <v>267</v>
      </c>
      <c r="D77">
        <v>75399399</v>
      </c>
      <c r="E77">
        <v>155752538.51429999</v>
      </c>
      <c r="F77">
        <f>SUM($D$77+$E$77)</f>
        <v>231151937.51429999</v>
      </c>
      <c r="G77">
        <v>75399399</v>
      </c>
      <c r="H77">
        <v>155752538.51429999</v>
      </c>
      <c r="I77">
        <f t="shared" ref="I77" si="106">SUM($D$77+$E$77)</f>
        <v>231151937.51429999</v>
      </c>
      <c r="J77">
        <v>75399399</v>
      </c>
      <c r="K77">
        <v>155752538.51429999</v>
      </c>
      <c r="L77">
        <f t="shared" ref="L77" si="107">SUM($D$77+$E$77)</f>
        <v>231151937.51429999</v>
      </c>
      <c r="M77">
        <v>75399399</v>
      </c>
      <c r="N77">
        <v>155752538.51429999</v>
      </c>
      <c r="O77">
        <f t="shared" ref="O77" si="108">SUM($D$77+$E$77)</f>
        <v>231151937.51429999</v>
      </c>
      <c r="P77">
        <v>75399399</v>
      </c>
      <c r="Q77">
        <v>155752538.51429999</v>
      </c>
      <c r="R77">
        <f t="shared" ref="R77" si="109">SUM($D$77+$E$77)</f>
        <v>231151937.51429999</v>
      </c>
      <c r="S77">
        <v>75399399</v>
      </c>
      <c r="T77">
        <v>155752538.51429999</v>
      </c>
      <c r="U77">
        <f t="shared" ref="U77" si="110">SUM($D$77+$E$77)</f>
        <v>231151937.51429999</v>
      </c>
      <c r="V77">
        <v>75399399</v>
      </c>
      <c r="W77">
        <v>155752538.51429999</v>
      </c>
      <c r="X77">
        <f t="shared" ref="X77" si="111">SUM($D$77+$E$77)</f>
        <v>231151937.51429999</v>
      </c>
      <c r="Y77">
        <v>75399399</v>
      </c>
      <c r="Z77">
        <v>155752538.51429999</v>
      </c>
      <c r="AA77">
        <f t="shared" ref="AA77" si="112">SUM($D$77+$E$77)</f>
        <v>231151937.51429999</v>
      </c>
      <c r="AB77">
        <v>75399399</v>
      </c>
      <c r="AC77">
        <v>155752538.51429999</v>
      </c>
      <c r="AD77">
        <f t="shared" ref="AD77" si="113">SUM($D$77+$E$77)</f>
        <v>231151937.51429999</v>
      </c>
      <c r="AE77">
        <v>75399399</v>
      </c>
      <c r="AF77">
        <v>155752538.51429999</v>
      </c>
      <c r="AG77">
        <f t="shared" ref="AG77" si="114">SUM($D$77+$E$77)</f>
        <v>231151937.51429999</v>
      </c>
      <c r="AH77">
        <v>75399399</v>
      </c>
      <c r="AI77">
        <v>155752538.51429999</v>
      </c>
      <c r="AJ77">
        <f t="shared" ref="AJ77" si="115">SUM($D$77+$E$77)</f>
        <v>231151937.51429999</v>
      </c>
      <c r="AK77">
        <v>166686219</v>
      </c>
      <c r="AL77">
        <v>543197050.47720003</v>
      </c>
      <c r="AM77">
        <f>SUM($AK$77+$AL$77)</f>
        <v>709883269.47720003</v>
      </c>
      <c r="AO77" s="15">
        <f t="shared" si="30"/>
        <v>2.0710677881870829</v>
      </c>
      <c r="AP77" s="16"/>
    </row>
    <row r="78" spans="2:42">
      <c r="B78" s="2" t="s">
        <v>278</v>
      </c>
      <c r="C78" t="s">
        <v>272</v>
      </c>
      <c r="D78">
        <v>203450578</v>
      </c>
      <c r="E78">
        <v>303059980.98879999</v>
      </c>
      <c r="F78">
        <f>SUM($D$78+$E$78)</f>
        <v>506510558.98879999</v>
      </c>
      <c r="G78">
        <v>203450578</v>
      </c>
      <c r="H78">
        <v>303059980.98879999</v>
      </c>
      <c r="I78">
        <f t="shared" ref="I78" si="116">SUM($D$78+$E$78)</f>
        <v>506510558.98879999</v>
      </c>
      <c r="J78">
        <v>203450578</v>
      </c>
      <c r="K78">
        <v>303059980.98879999</v>
      </c>
      <c r="L78">
        <f t="shared" ref="L78" si="117">SUM($D$78+$E$78)</f>
        <v>506510558.98879999</v>
      </c>
      <c r="M78">
        <v>203450578</v>
      </c>
      <c r="N78">
        <v>303059980.98879999</v>
      </c>
      <c r="O78">
        <f t="shared" ref="O78" si="118">SUM($D$78+$E$78)</f>
        <v>506510558.98879999</v>
      </c>
      <c r="P78">
        <v>203450578</v>
      </c>
      <c r="Q78">
        <v>303059980.98879999</v>
      </c>
      <c r="R78">
        <f t="shared" ref="R78" si="119">SUM($D$78+$E$78)</f>
        <v>506510558.98879999</v>
      </c>
      <c r="S78">
        <v>203450578</v>
      </c>
      <c r="T78">
        <v>303059980.98879999</v>
      </c>
      <c r="U78">
        <f t="shared" ref="U78" si="120">SUM($D$78+$E$78)</f>
        <v>506510558.98879999</v>
      </c>
      <c r="V78">
        <v>203450578</v>
      </c>
      <c r="W78">
        <v>303059980.98879999</v>
      </c>
      <c r="X78">
        <f t="shared" ref="X78" si="121">SUM($D$78+$E$78)</f>
        <v>506510558.98879999</v>
      </c>
      <c r="Y78">
        <v>203450578</v>
      </c>
      <c r="Z78">
        <v>303059980.98879999</v>
      </c>
      <c r="AA78">
        <f t="shared" ref="AA78" si="122">SUM($D$78+$E$78)</f>
        <v>506510558.98879999</v>
      </c>
      <c r="AB78">
        <v>203450578</v>
      </c>
      <c r="AC78">
        <v>303059980.98879999</v>
      </c>
      <c r="AD78">
        <f t="shared" ref="AD78" si="123">SUM($D$78+$E$78)</f>
        <v>506510558.98879999</v>
      </c>
      <c r="AE78">
        <v>203450578</v>
      </c>
      <c r="AF78">
        <v>303059980.98879999</v>
      </c>
      <c r="AG78">
        <f t="shared" ref="AG78" si="124">SUM($D$78+$E$78)</f>
        <v>506510558.98879999</v>
      </c>
      <c r="AH78">
        <v>203450578</v>
      </c>
      <c r="AI78">
        <v>303059980.98879999</v>
      </c>
      <c r="AJ78">
        <f t="shared" ref="AJ78" si="125">SUM($D$78+$E$78)</f>
        <v>506510558.98879999</v>
      </c>
      <c r="AK78">
        <v>233796948</v>
      </c>
      <c r="AL78">
        <v>395724714.18479997</v>
      </c>
      <c r="AM78">
        <f>SUM($AK$78+$AL$78)</f>
        <v>629521662.18479991</v>
      </c>
      <c r="AO78" s="15">
        <f t="shared" si="30"/>
        <v>0.24285989899515581</v>
      </c>
      <c r="AP78" s="16"/>
    </row>
    <row r="79" spans="2:42">
      <c r="B79" s="2" t="s">
        <v>279</v>
      </c>
      <c r="C79" t="s">
        <v>275</v>
      </c>
      <c r="D79">
        <v>49327371</v>
      </c>
      <c r="E79">
        <v>41227816.6818</v>
      </c>
      <c r="F79">
        <f>SUM($D$79+$E$79)</f>
        <v>90555187.681800008</v>
      </c>
      <c r="G79">
        <v>49327371</v>
      </c>
      <c r="H79">
        <v>41227816.6818</v>
      </c>
      <c r="I79">
        <f t="shared" ref="I79" si="126">SUM($D$79+$E$79)</f>
        <v>90555187.681800008</v>
      </c>
      <c r="J79">
        <v>49327371</v>
      </c>
      <c r="K79">
        <v>41227816.6818</v>
      </c>
      <c r="L79">
        <f t="shared" ref="L79" si="127">SUM($D$79+$E$79)</f>
        <v>90555187.681800008</v>
      </c>
      <c r="M79">
        <v>49327371</v>
      </c>
      <c r="N79">
        <v>41227816.6818</v>
      </c>
      <c r="O79">
        <f t="shared" ref="O79" si="128">SUM($D$79+$E$79)</f>
        <v>90555187.681800008</v>
      </c>
      <c r="P79">
        <v>49327371</v>
      </c>
      <c r="Q79">
        <v>41227816.6818</v>
      </c>
      <c r="R79">
        <f t="shared" ref="R79" si="129">SUM($D$79+$E$79)</f>
        <v>90555187.681800008</v>
      </c>
      <c r="S79">
        <v>49327371</v>
      </c>
      <c r="T79">
        <v>41227816.6818</v>
      </c>
      <c r="U79">
        <f t="shared" ref="U79" si="130">SUM($D$79+$E$79)</f>
        <v>90555187.681800008</v>
      </c>
      <c r="V79">
        <v>49327371</v>
      </c>
      <c r="W79">
        <v>41227816.6818</v>
      </c>
      <c r="X79">
        <f t="shared" ref="X79" si="131">SUM($D$79+$E$79)</f>
        <v>90555187.681800008</v>
      </c>
      <c r="Y79">
        <v>49327371</v>
      </c>
      <c r="Z79">
        <v>41227816.6818</v>
      </c>
      <c r="AA79">
        <f t="shared" ref="AA79" si="132">SUM($D$79+$E$79)</f>
        <v>90555187.681800008</v>
      </c>
      <c r="AB79">
        <v>49327371</v>
      </c>
      <c r="AC79">
        <v>41227816.6818</v>
      </c>
      <c r="AD79">
        <f t="shared" ref="AD79" si="133">SUM($D$79+$E$79)</f>
        <v>90555187.681800008</v>
      </c>
      <c r="AE79">
        <v>49327371</v>
      </c>
      <c r="AF79">
        <v>41227816.6818</v>
      </c>
      <c r="AG79">
        <f t="shared" ref="AG79" si="134">SUM($D$79+$E$79)</f>
        <v>90555187.681800008</v>
      </c>
      <c r="AH79">
        <v>49327371</v>
      </c>
      <c r="AI79">
        <v>41227816.6818</v>
      </c>
      <c r="AJ79">
        <f t="shared" ref="AJ79" si="135">SUM($D$79+$E$79)</f>
        <v>90555187.681800008</v>
      </c>
      <c r="AK79">
        <v>64923437</v>
      </c>
      <c r="AL79">
        <v>64975375.749600001</v>
      </c>
      <c r="AM79">
        <f>SUM($AK$79+$AL$79)</f>
        <v>129898812.74959999</v>
      </c>
      <c r="AO79" s="15">
        <f t="shared" si="30"/>
        <v>0.43447124427645978</v>
      </c>
      <c r="AP79" s="16"/>
    </row>
    <row r="80" spans="2:42">
      <c r="B80" s="2" t="s">
        <v>280</v>
      </c>
      <c r="C80" t="s">
        <v>277</v>
      </c>
      <c r="D80">
        <v>721516374</v>
      </c>
      <c r="E80">
        <v>3629660271.0444002</v>
      </c>
      <c r="F80">
        <f>SUM($D$80+$E$80)</f>
        <v>4351176645.0444002</v>
      </c>
      <c r="G80">
        <v>721516374</v>
      </c>
      <c r="H80">
        <v>3629660271.0444002</v>
      </c>
      <c r="I80">
        <f t="shared" ref="I80" si="136">SUM($D$80+$E$80)</f>
        <v>4351176645.0444002</v>
      </c>
      <c r="J80">
        <v>721516374</v>
      </c>
      <c r="K80">
        <v>3629660271.0444002</v>
      </c>
      <c r="L80">
        <f t="shared" ref="L80" si="137">SUM($D$80+$E$80)</f>
        <v>4351176645.0444002</v>
      </c>
      <c r="M80">
        <v>721516374</v>
      </c>
      <c r="N80">
        <v>3629660271.0444002</v>
      </c>
      <c r="O80">
        <f t="shared" ref="O80" si="138">SUM($D$80+$E$80)</f>
        <v>4351176645.0444002</v>
      </c>
      <c r="P80">
        <v>721516374</v>
      </c>
      <c r="Q80">
        <v>3629660271.0444002</v>
      </c>
      <c r="R80">
        <f t="shared" ref="R80" si="139">SUM($D$80+$E$80)</f>
        <v>4351176645.0444002</v>
      </c>
      <c r="S80">
        <v>721516374</v>
      </c>
      <c r="T80">
        <v>3629660271.0444002</v>
      </c>
      <c r="U80">
        <f t="shared" ref="U80" si="140">SUM($D$80+$E$80)</f>
        <v>4351176645.0444002</v>
      </c>
      <c r="V80">
        <v>721516374</v>
      </c>
      <c r="W80">
        <v>3629660271.0444002</v>
      </c>
      <c r="X80">
        <f t="shared" ref="X80" si="141">SUM($D$80+$E$80)</f>
        <v>4351176645.0444002</v>
      </c>
      <c r="Y80">
        <v>721516374</v>
      </c>
      <c r="Z80">
        <v>3629660271.0444002</v>
      </c>
      <c r="AA80">
        <f t="shared" ref="AA80" si="142">SUM($D$80+$E$80)</f>
        <v>4351176645.0444002</v>
      </c>
      <c r="AB80">
        <v>721516374</v>
      </c>
      <c r="AC80">
        <v>3629660271.0444002</v>
      </c>
      <c r="AD80">
        <f t="shared" ref="AD80" si="143">SUM($D$80+$E$80)</f>
        <v>4351176645.0444002</v>
      </c>
      <c r="AE80">
        <v>721516374</v>
      </c>
      <c r="AF80">
        <v>3629660271.0444002</v>
      </c>
      <c r="AG80">
        <f t="shared" ref="AG80" si="144">SUM($D$80+$E$80)</f>
        <v>4351176645.0444002</v>
      </c>
      <c r="AH80">
        <v>721516374</v>
      </c>
      <c r="AI80">
        <v>3629660271.0444002</v>
      </c>
      <c r="AJ80">
        <f t="shared" ref="AJ80" si="145">SUM($D$80+$E$80)</f>
        <v>4351176645.0444002</v>
      </c>
      <c r="AK80">
        <v>973417089</v>
      </c>
      <c r="AL80">
        <v>6355926882.6255007</v>
      </c>
      <c r="AM80">
        <f>SUM($AK$80+$AL$80)</f>
        <v>7329343971.6255007</v>
      </c>
      <c r="AO80" s="15">
        <f t="shared" si="30"/>
        <v>0.68445102774050004</v>
      </c>
      <c r="AP80" s="16"/>
    </row>
    <row r="81" spans="2:42">
      <c r="B81" t="s">
        <v>283</v>
      </c>
      <c r="C81" t="s">
        <v>282</v>
      </c>
      <c r="D81">
        <v>813638701</v>
      </c>
      <c r="E81">
        <v>7117792720.2180996</v>
      </c>
      <c r="F81">
        <f>SUM($D$81+$E$81)</f>
        <v>7931431421.2180996</v>
      </c>
      <c r="G81">
        <v>813638701</v>
      </c>
      <c r="H81">
        <v>7117792720.2180996</v>
      </c>
      <c r="I81">
        <f t="shared" ref="I81" si="146">SUM($D$81+$E$81)</f>
        <v>7931431421.2180996</v>
      </c>
      <c r="J81">
        <v>813638701</v>
      </c>
      <c r="K81">
        <v>7117792720.2180996</v>
      </c>
      <c r="L81">
        <f t="shared" ref="L81" si="147">SUM($D$81+$E$81)</f>
        <v>7931431421.2180996</v>
      </c>
      <c r="M81">
        <v>813638701</v>
      </c>
      <c r="N81">
        <v>7117792720.2180996</v>
      </c>
      <c r="O81">
        <f t="shared" ref="O81" si="148">SUM($D$81+$E$81)</f>
        <v>7931431421.2180996</v>
      </c>
      <c r="P81">
        <v>813638701</v>
      </c>
      <c r="Q81">
        <v>7117792720.2180996</v>
      </c>
      <c r="R81">
        <f t="shared" ref="R81" si="149">SUM($D$81+$E$81)</f>
        <v>7931431421.2180996</v>
      </c>
      <c r="S81">
        <v>813638701</v>
      </c>
      <c r="T81">
        <v>7117792720.2180996</v>
      </c>
      <c r="U81">
        <f t="shared" ref="U81" si="150">SUM($D$81+$E$81)</f>
        <v>7931431421.2180996</v>
      </c>
      <c r="V81">
        <v>813638701</v>
      </c>
      <c r="W81">
        <v>7117792720.2180996</v>
      </c>
      <c r="X81">
        <f t="shared" ref="X81" si="151">SUM($D$81+$E$81)</f>
        <v>7931431421.2180996</v>
      </c>
      <c r="Y81">
        <v>813638701</v>
      </c>
      <c r="Z81">
        <v>7117792720.2180996</v>
      </c>
      <c r="AA81">
        <f t="shared" ref="AA81" si="152">SUM($D$81+$E$81)</f>
        <v>7931431421.2180996</v>
      </c>
      <c r="AB81">
        <v>813638701</v>
      </c>
      <c r="AC81">
        <v>7117792720.2180996</v>
      </c>
      <c r="AD81">
        <f t="shared" ref="AD81" si="153">SUM($D$81+$E$81)</f>
        <v>7931431421.2180996</v>
      </c>
      <c r="AE81">
        <v>813638701</v>
      </c>
      <c r="AF81">
        <v>7117792720.2180996</v>
      </c>
      <c r="AG81">
        <f t="shared" ref="AG81" si="154">SUM($D$81+$E$81)</f>
        <v>7931431421.2180996</v>
      </c>
      <c r="AH81">
        <v>813638701</v>
      </c>
      <c r="AI81">
        <v>7117792720.2180996</v>
      </c>
      <c r="AJ81">
        <f t="shared" ref="AJ81" si="155">SUM($D$81+$E$81)</f>
        <v>7931431421.2180996</v>
      </c>
      <c r="AK81">
        <v>1086443436</v>
      </c>
      <c r="AL81">
        <v>10561751218.7304</v>
      </c>
      <c r="AM81">
        <f>SUM($AK$81+$AL$81)</f>
        <v>11648194654.7304</v>
      </c>
      <c r="AO81" s="15">
        <f t="shared" si="30"/>
        <v>0.46861191077933873</v>
      </c>
      <c r="AP81" s="16"/>
    </row>
    <row r="82" spans="2:42">
      <c r="B82" t="s">
        <v>286</v>
      </c>
      <c r="C82" t="s">
        <v>284</v>
      </c>
      <c r="D82">
        <v>25813045</v>
      </c>
      <c r="E82">
        <v>27245668.997499999</v>
      </c>
      <c r="F82">
        <f>SUM($D$82+$E$82)</f>
        <v>53058713.997500002</v>
      </c>
      <c r="G82">
        <v>25813045</v>
      </c>
      <c r="H82">
        <v>27245668.997499999</v>
      </c>
      <c r="I82">
        <f t="shared" ref="I82" si="156">SUM($D$82+$E$82)</f>
        <v>53058713.997500002</v>
      </c>
      <c r="J82">
        <v>25813045</v>
      </c>
      <c r="K82">
        <v>27245668.997499999</v>
      </c>
      <c r="L82">
        <f t="shared" ref="L82" si="157">SUM($D$82+$E$82)</f>
        <v>53058713.997500002</v>
      </c>
      <c r="M82">
        <v>25813045</v>
      </c>
      <c r="N82">
        <v>27245668.997499999</v>
      </c>
      <c r="O82">
        <f t="shared" ref="O82" si="158">SUM($D$82+$E$82)</f>
        <v>53058713.997500002</v>
      </c>
      <c r="P82">
        <v>25813045</v>
      </c>
      <c r="Q82">
        <v>27245668.997499999</v>
      </c>
      <c r="R82">
        <f t="shared" ref="R82" si="159">SUM($D$82+$E$82)</f>
        <v>53058713.997500002</v>
      </c>
      <c r="S82">
        <v>25813045</v>
      </c>
      <c r="T82">
        <v>27245668.997499999</v>
      </c>
      <c r="U82">
        <f t="shared" ref="U82" si="160">SUM($D$82+$E$82)</f>
        <v>53058713.997500002</v>
      </c>
      <c r="V82">
        <v>25813045</v>
      </c>
      <c r="W82">
        <v>27245668.997499999</v>
      </c>
      <c r="X82">
        <f t="shared" ref="X82" si="161">SUM($D$82+$E$82)</f>
        <v>53058713.997500002</v>
      </c>
      <c r="Y82">
        <v>25813045</v>
      </c>
      <c r="Z82">
        <v>27245668.997499999</v>
      </c>
      <c r="AA82">
        <f t="shared" ref="AA82" si="162">SUM($D$82+$E$82)</f>
        <v>53058713.997500002</v>
      </c>
      <c r="AB82">
        <v>25813045</v>
      </c>
      <c r="AC82">
        <v>27245668.997499999</v>
      </c>
      <c r="AD82">
        <f t="shared" ref="AD82" si="163">SUM($D$82+$E$82)</f>
        <v>53058713.997500002</v>
      </c>
      <c r="AE82">
        <v>25813045</v>
      </c>
      <c r="AF82">
        <v>27245668.997499999</v>
      </c>
      <c r="AG82">
        <f t="shared" ref="AG82" si="164">SUM($D$82+$E$82)</f>
        <v>53058713.997500002</v>
      </c>
      <c r="AH82">
        <v>25813045</v>
      </c>
      <c r="AI82">
        <v>27245668.997499999</v>
      </c>
      <c r="AJ82">
        <f t="shared" ref="AJ82" si="165">SUM($D$82+$E$82)</f>
        <v>53058713.997500002</v>
      </c>
      <c r="AK82">
        <v>101937268</v>
      </c>
      <c r="AL82">
        <v>177350458.8664</v>
      </c>
      <c r="AM82">
        <f>SUM($AK$82+$AL$82)</f>
        <v>279287726.8664</v>
      </c>
      <c r="AO82" s="15">
        <f t="shared" si="30"/>
        <v>4.263748512253037</v>
      </c>
      <c r="AP82" s="16"/>
    </row>
    <row r="83" spans="2:42">
      <c r="B83" s="2" t="s">
        <v>319</v>
      </c>
      <c r="C83" t="s">
        <v>289</v>
      </c>
      <c r="D83">
        <v>246967201</v>
      </c>
      <c r="E83">
        <v>484673131.96249998</v>
      </c>
      <c r="F83">
        <f>SUM($D$83+$E$83)</f>
        <v>731640332.96249998</v>
      </c>
      <c r="G83">
        <v>246967201</v>
      </c>
      <c r="H83">
        <v>484673131.96249998</v>
      </c>
      <c r="I83">
        <f t="shared" ref="I83" si="166">SUM($D$83+$E$83)</f>
        <v>731640332.96249998</v>
      </c>
      <c r="J83">
        <v>246967201</v>
      </c>
      <c r="K83">
        <v>484673131.96249998</v>
      </c>
      <c r="L83">
        <f t="shared" ref="L83" si="167">SUM($D$83+$E$83)</f>
        <v>731640332.96249998</v>
      </c>
      <c r="M83">
        <v>246967201</v>
      </c>
      <c r="N83">
        <v>484673131.96249998</v>
      </c>
      <c r="O83">
        <f t="shared" ref="O83" si="168">SUM($D$83+$E$83)</f>
        <v>731640332.96249998</v>
      </c>
      <c r="P83">
        <v>246967201</v>
      </c>
      <c r="Q83">
        <v>484673131.96249998</v>
      </c>
      <c r="R83">
        <f t="shared" ref="R83" si="169">SUM($D$83+$E$83)</f>
        <v>731640332.96249998</v>
      </c>
      <c r="S83">
        <v>246967201</v>
      </c>
      <c r="T83">
        <v>484673131.96249998</v>
      </c>
      <c r="U83">
        <f t="shared" ref="U83" si="170">SUM($D$83+$E$83)</f>
        <v>731640332.96249998</v>
      </c>
      <c r="V83">
        <v>246967201</v>
      </c>
      <c r="W83">
        <v>484673131.96249998</v>
      </c>
      <c r="X83">
        <f t="shared" ref="X83" si="171">SUM($D$83+$E$83)</f>
        <v>731640332.96249998</v>
      </c>
      <c r="Y83">
        <v>246967201</v>
      </c>
      <c r="Z83">
        <v>484673131.96249998</v>
      </c>
      <c r="AA83">
        <f t="shared" ref="AA83" si="172">SUM($D$83+$E$83)</f>
        <v>731640332.96249998</v>
      </c>
      <c r="AB83">
        <v>246967201</v>
      </c>
      <c r="AC83">
        <v>484673131.96249998</v>
      </c>
      <c r="AD83">
        <f t="shared" ref="AD83" si="173">SUM($D$83+$E$83)</f>
        <v>731640332.96249998</v>
      </c>
      <c r="AE83">
        <v>246967201</v>
      </c>
      <c r="AF83">
        <v>484673131.96249998</v>
      </c>
      <c r="AG83">
        <f t="shared" ref="AG83" si="174">SUM($D$83+$E$83)</f>
        <v>731640332.96249998</v>
      </c>
      <c r="AH83">
        <v>246967201</v>
      </c>
      <c r="AI83">
        <v>484673131.96249998</v>
      </c>
      <c r="AJ83">
        <f t="shared" ref="AJ83" si="175">SUM($D$83+$E$83)</f>
        <v>731640332.96249998</v>
      </c>
      <c r="AK83">
        <v>350334049</v>
      </c>
      <c r="AL83">
        <v>1008331459.8318</v>
      </c>
      <c r="AM83">
        <f>SUM($AK$83+$AL$83)</f>
        <v>1358665508.8318</v>
      </c>
      <c r="AO83" s="15">
        <f t="shared" si="30"/>
        <v>0.8570128622220694</v>
      </c>
      <c r="AP83" s="16"/>
    </row>
    <row r="84" spans="2:42">
      <c r="B84" t="s">
        <v>320</v>
      </c>
      <c r="C84" t="s">
        <v>290</v>
      </c>
      <c r="D84">
        <v>547461087</v>
      </c>
      <c r="E84">
        <v>3079140137.7228003</v>
      </c>
      <c r="F84">
        <f>SUM($D$84+$E$84)</f>
        <v>3626601224.7228003</v>
      </c>
      <c r="G84">
        <v>547461087</v>
      </c>
      <c r="H84">
        <v>3079140137.7228003</v>
      </c>
      <c r="I84">
        <f t="shared" ref="I84" si="176">SUM($D$84+$E$84)</f>
        <v>3626601224.7228003</v>
      </c>
      <c r="J84">
        <v>547461087</v>
      </c>
      <c r="K84">
        <v>3079140137.7228003</v>
      </c>
      <c r="L84">
        <f t="shared" ref="L84" si="177">SUM($D$84+$E$84)</f>
        <v>3626601224.7228003</v>
      </c>
      <c r="M84">
        <v>547461087</v>
      </c>
      <c r="N84">
        <v>3079140137.7228003</v>
      </c>
      <c r="O84">
        <f t="shared" ref="O84" si="178">SUM($D$84+$E$84)</f>
        <v>3626601224.7228003</v>
      </c>
      <c r="P84">
        <v>547461087</v>
      </c>
      <c r="Q84">
        <v>3079140137.7228003</v>
      </c>
      <c r="R84">
        <f t="shared" ref="R84" si="179">SUM($D$84+$E$84)</f>
        <v>3626601224.7228003</v>
      </c>
      <c r="S84">
        <v>547461087</v>
      </c>
      <c r="T84">
        <v>3079140137.7228003</v>
      </c>
      <c r="U84">
        <f t="shared" ref="U84" si="180">SUM($D$84+$E$84)</f>
        <v>3626601224.7228003</v>
      </c>
      <c r="V84">
        <v>547461087</v>
      </c>
      <c r="W84">
        <v>3079140137.7228003</v>
      </c>
      <c r="X84">
        <f t="shared" ref="X84" si="181">SUM($D$84+$E$84)</f>
        <v>3626601224.7228003</v>
      </c>
      <c r="Y84">
        <v>547461087</v>
      </c>
      <c r="Z84">
        <v>3079140137.7228003</v>
      </c>
      <c r="AA84">
        <f t="shared" ref="AA84" si="182">SUM($D$84+$E$84)</f>
        <v>3626601224.7228003</v>
      </c>
      <c r="AB84">
        <v>547461087</v>
      </c>
      <c r="AC84">
        <v>3079140137.7228003</v>
      </c>
      <c r="AD84">
        <f t="shared" ref="AD84" si="183">SUM($D$84+$E$84)</f>
        <v>3626601224.7228003</v>
      </c>
      <c r="AE84">
        <v>547461087</v>
      </c>
      <c r="AF84">
        <v>3079140137.7228003</v>
      </c>
      <c r="AG84">
        <f t="shared" ref="AG84" si="184">SUM($D$84+$E$84)</f>
        <v>3626601224.7228003</v>
      </c>
      <c r="AH84">
        <v>547461087</v>
      </c>
      <c r="AI84">
        <v>3079140137.7228003</v>
      </c>
      <c r="AJ84">
        <f t="shared" ref="AJ84" si="185">SUM($D$84+$E$84)</f>
        <v>3626601224.7228003</v>
      </c>
      <c r="AK84">
        <v>568424952</v>
      </c>
      <c r="AL84">
        <v>3270944543.7888002</v>
      </c>
      <c r="AM84">
        <f>SUM($AK$84+$AL$84)</f>
        <v>3839369495.7888002</v>
      </c>
      <c r="AO84" s="15"/>
      <c r="AP84" s="16"/>
    </row>
    <row r="85" spans="2:42">
      <c r="B85" s="2" t="s">
        <v>321</v>
      </c>
      <c r="C85" t="s">
        <v>292</v>
      </c>
      <c r="D85">
        <v>339790853</v>
      </c>
      <c r="E85">
        <v>1366604831.6807001</v>
      </c>
      <c r="F85">
        <f>SUM($D$85+$E$85)</f>
        <v>1706395684.6807001</v>
      </c>
      <c r="G85">
        <v>339790853</v>
      </c>
      <c r="H85">
        <v>1366604831.6807001</v>
      </c>
      <c r="I85">
        <f t="shared" ref="I85" si="186">SUM($D$85+$E$85)</f>
        <v>1706395684.6807001</v>
      </c>
      <c r="J85">
        <v>339790853</v>
      </c>
      <c r="K85">
        <v>1366604831.6807001</v>
      </c>
      <c r="L85">
        <f t="shared" ref="L85" si="187">SUM($D$85+$E$85)</f>
        <v>1706395684.6807001</v>
      </c>
      <c r="M85">
        <v>339790853</v>
      </c>
      <c r="N85">
        <v>1366604831.6807001</v>
      </c>
      <c r="O85">
        <f t="shared" ref="O85" si="188">SUM($D$85+$E$85)</f>
        <v>1706395684.6807001</v>
      </c>
      <c r="P85">
        <v>339790853</v>
      </c>
      <c r="Q85">
        <v>1366604831.6807001</v>
      </c>
      <c r="R85">
        <f t="shared" ref="R85" si="189">SUM($D$85+$E$85)</f>
        <v>1706395684.6807001</v>
      </c>
      <c r="S85">
        <v>339790853</v>
      </c>
      <c r="T85">
        <v>1366604831.6807001</v>
      </c>
      <c r="U85">
        <f t="shared" ref="U85" si="190">SUM($D$85+$E$85)</f>
        <v>1706395684.6807001</v>
      </c>
      <c r="V85">
        <v>339790853</v>
      </c>
      <c r="W85">
        <v>1366604831.6807001</v>
      </c>
      <c r="X85">
        <f t="shared" ref="X85" si="191">SUM($D$85+$E$85)</f>
        <v>1706395684.6807001</v>
      </c>
      <c r="Y85">
        <v>339790853</v>
      </c>
      <c r="Z85">
        <v>1366604831.6807001</v>
      </c>
      <c r="AA85">
        <f t="shared" ref="AA85" si="192">SUM($D$85+$E$85)</f>
        <v>1706395684.6807001</v>
      </c>
      <c r="AB85">
        <v>339790853</v>
      </c>
      <c r="AC85">
        <v>1366604831.6807001</v>
      </c>
      <c r="AD85">
        <f t="shared" ref="AD85" si="193">SUM($D$85+$E$85)</f>
        <v>1706395684.6807001</v>
      </c>
      <c r="AE85">
        <v>339790853</v>
      </c>
      <c r="AF85">
        <v>1366604831.6807001</v>
      </c>
      <c r="AG85">
        <f t="shared" ref="AG85" si="194">SUM($D$85+$E$85)</f>
        <v>1706395684.6807001</v>
      </c>
      <c r="AH85">
        <v>339790853</v>
      </c>
      <c r="AI85">
        <v>1366604831.6807001</v>
      </c>
      <c r="AJ85">
        <f t="shared" ref="AJ85" si="195">SUM($D$85+$E$85)</f>
        <v>1706395684.6807001</v>
      </c>
      <c r="AK85">
        <v>384138164</v>
      </c>
      <c r="AL85">
        <v>1699158340.8211999</v>
      </c>
      <c r="AM85">
        <f>SUM($AK$85+$AL$85)</f>
        <v>2083296504.8211999</v>
      </c>
      <c r="AO85" s="15">
        <f t="shared" si="30"/>
        <v>0.22087539456654537</v>
      </c>
      <c r="AP85" s="16"/>
    </row>
    <row r="86" spans="2:42">
      <c r="B86" s="1" t="s">
        <v>322</v>
      </c>
      <c r="C86" t="s">
        <v>294</v>
      </c>
      <c r="D86">
        <v>233669115</v>
      </c>
      <c r="E86">
        <v>621746781.19199991</v>
      </c>
      <c r="F86">
        <f>SUM($D$86+$E$86)</f>
        <v>855415896.19199991</v>
      </c>
      <c r="G86">
        <v>233669115</v>
      </c>
      <c r="H86">
        <v>621746781.19199991</v>
      </c>
      <c r="I86">
        <f t="shared" ref="I86" si="196">SUM($D$86+$E$86)</f>
        <v>855415896.19199991</v>
      </c>
      <c r="J86">
        <v>233669115</v>
      </c>
      <c r="K86">
        <v>621746781.19199991</v>
      </c>
      <c r="L86">
        <f t="shared" ref="L86" si="197">SUM($D$86+$E$86)</f>
        <v>855415896.19199991</v>
      </c>
      <c r="M86">
        <v>233669115</v>
      </c>
      <c r="N86">
        <v>621746781.19199991</v>
      </c>
      <c r="O86">
        <f t="shared" ref="O86" si="198">SUM($D$86+$E$86)</f>
        <v>855415896.19199991</v>
      </c>
      <c r="P86">
        <v>233669115</v>
      </c>
      <c r="Q86">
        <v>621746781.19199991</v>
      </c>
      <c r="R86">
        <f t="shared" ref="R86" si="199">SUM($D$86+$E$86)</f>
        <v>855415896.19199991</v>
      </c>
      <c r="S86">
        <v>233669115</v>
      </c>
      <c r="T86">
        <v>621746781.19199991</v>
      </c>
      <c r="U86">
        <f t="shared" ref="U86" si="200">SUM($D$86+$E$86)</f>
        <v>855415896.19199991</v>
      </c>
      <c r="V86">
        <v>233669115</v>
      </c>
      <c r="W86">
        <v>621746781.19199991</v>
      </c>
      <c r="X86">
        <f t="shared" ref="X86" si="201">SUM($D$86+$E$86)</f>
        <v>855415896.19199991</v>
      </c>
      <c r="Y86">
        <v>233669115</v>
      </c>
      <c r="Z86">
        <v>621746781.19199991</v>
      </c>
      <c r="AA86">
        <f t="shared" ref="AA86" si="202">SUM($D$86+$E$86)</f>
        <v>855415896.19199991</v>
      </c>
      <c r="AB86">
        <v>233669115</v>
      </c>
      <c r="AC86">
        <v>621746781.19199991</v>
      </c>
      <c r="AD86">
        <f t="shared" ref="AD86" si="203">SUM($D$86+$E$86)</f>
        <v>855415896.19199991</v>
      </c>
      <c r="AE86">
        <v>233669115</v>
      </c>
      <c r="AF86">
        <v>621746781.19199991</v>
      </c>
      <c r="AG86">
        <f t="shared" ref="AG86" si="204">SUM($D$86+$E$86)</f>
        <v>855415896.19199991</v>
      </c>
      <c r="AH86">
        <v>233669115</v>
      </c>
      <c r="AI86">
        <v>621746781.19199991</v>
      </c>
      <c r="AJ86">
        <f t="shared" ref="AJ86" si="205">SUM($D$86+$E$86)</f>
        <v>855415896.19199991</v>
      </c>
      <c r="AK86">
        <v>246733123</v>
      </c>
      <c r="AL86">
        <v>678096641.94089997</v>
      </c>
      <c r="AM86">
        <f>SUM($AK$86+$AL$86)</f>
        <v>924829764.94089997</v>
      </c>
      <c r="AO86" s="15"/>
      <c r="AP86" s="16"/>
    </row>
    <row r="87" spans="2:42">
      <c r="B87" t="s">
        <v>323</v>
      </c>
      <c r="C87" t="s">
        <v>296</v>
      </c>
      <c r="D87">
        <v>78817868</v>
      </c>
      <c r="E87">
        <v>46896631.460000001</v>
      </c>
      <c r="F87">
        <f>SUM($D$87+$E$87)</f>
        <v>125714499.46000001</v>
      </c>
      <c r="G87">
        <v>78817868</v>
      </c>
      <c r="H87">
        <v>46896631.460000001</v>
      </c>
      <c r="I87">
        <f t="shared" ref="I87" si="206">SUM($D$87+$E$87)</f>
        <v>125714499.46000001</v>
      </c>
      <c r="J87">
        <v>78817868</v>
      </c>
      <c r="K87">
        <v>46896631.460000001</v>
      </c>
      <c r="L87">
        <f t="shared" ref="L87" si="207">SUM($D$87+$E$87)</f>
        <v>125714499.46000001</v>
      </c>
      <c r="M87">
        <v>78817868</v>
      </c>
      <c r="N87">
        <v>46896631.460000001</v>
      </c>
      <c r="O87">
        <f t="shared" ref="O87" si="208">SUM($D$87+$E$87)</f>
        <v>125714499.46000001</v>
      </c>
      <c r="P87">
        <v>78817868</v>
      </c>
      <c r="Q87">
        <v>46896631.460000001</v>
      </c>
      <c r="R87">
        <f t="shared" ref="R87" si="209">SUM($D$87+$E$87)</f>
        <v>125714499.46000001</v>
      </c>
      <c r="S87">
        <v>78817868</v>
      </c>
      <c r="T87">
        <v>46896631.460000001</v>
      </c>
      <c r="U87">
        <f t="shared" ref="U87" si="210">SUM($D$87+$E$87)</f>
        <v>125714499.46000001</v>
      </c>
      <c r="V87">
        <v>78817868</v>
      </c>
      <c r="W87">
        <v>46896631.460000001</v>
      </c>
      <c r="X87">
        <f t="shared" ref="X87" si="211">SUM($D$87+$E$87)</f>
        <v>125714499.46000001</v>
      </c>
      <c r="Y87">
        <v>78817868</v>
      </c>
      <c r="Z87">
        <v>46896631.460000001</v>
      </c>
      <c r="AA87">
        <f t="shared" ref="AA87" si="212">SUM($D$87+$E$87)</f>
        <v>125714499.46000001</v>
      </c>
      <c r="AB87">
        <v>78817868</v>
      </c>
      <c r="AC87">
        <v>46896631.460000001</v>
      </c>
      <c r="AD87">
        <f t="shared" ref="AD87" si="213">SUM($D$87+$E$87)</f>
        <v>125714499.46000001</v>
      </c>
      <c r="AE87">
        <v>78817868</v>
      </c>
      <c r="AF87">
        <v>46896631.460000001</v>
      </c>
      <c r="AG87">
        <f t="shared" ref="AG87" si="214">SUM($D$87+$E$87)</f>
        <v>125714499.46000001</v>
      </c>
      <c r="AH87">
        <v>78817868</v>
      </c>
      <c r="AI87">
        <v>46896631.460000001</v>
      </c>
      <c r="AJ87">
        <f t="shared" ref="AJ87" si="215">SUM($D$87+$E$87)</f>
        <v>125714499.46000001</v>
      </c>
      <c r="AK87">
        <v>108391802</v>
      </c>
      <c r="AL87">
        <v>131219115.50120001</v>
      </c>
      <c r="AM87">
        <f>SUM($AK$87+$AL$87)</f>
        <v>239610917.50120002</v>
      </c>
      <c r="AO87" s="15">
        <f t="shared" si="30"/>
        <v>0.9059926940045584</v>
      </c>
      <c r="AP87" s="16"/>
    </row>
    <row r="88" spans="2:42">
      <c r="B88" s="2" t="s">
        <v>324</v>
      </c>
      <c r="C88" t="s">
        <v>300</v>
      </c>
      <c r="D88">
        <v>85077550</v>
      </c>
      <c r="E88">
        <v>182576422.29999998</v>
      </c>
      <c r="F88">
        <f>SUM($D$88+$E$88)</f>
        <v>267653972.29999998</v>
      </c>
      <c r="G88">
        <v>85077550</v>
      </c>
      <c r="H88">
        <v>182576422.29999998</v>
      </c>
      <c r="I88">
        <f t="shared" ref="I88" si="216">SUM($D$88+$E$88)</f>
        <v>267653972.29999998</v>
      </c>
      <c r="J88">
        <v>85077550</v>
      </c>
      <c r="K88">
        <v>182576422.29999998</v>
      </c>
      <c r="L88">
        <f t="shared" ref="L88" si="217">SUM($D$88+$E$88)</f>
        <v>267653972.29999998</v>
      </c>
      <c r="M88">
        <v>85077550</v>
      </c>
      <c r="N88">
        <v>182576422.29999998</v>
      </c>
      <c r="O88">
        <f t="shared" ref="O88" si="218">SUM($D$88+$E$88)</f>
        <v>267653972.29999998</v>
      </c>
      <c r="P88">
        <v>85077550</v>
      </c>
      <c r="Q88">
        <v>182576422.29999998</v>
      </c>
      <c r="R88">
        <f t="shared" ref="R88" si="219">SUM($D$88+$E$88)</f>
        <v>267653972.29999998</v>
      </c>
      <c r="S88">
        <v>85077550</v>
      </c>
      <c r="T88">
        <v>182576422.29999998</v>
      </c>
      <c r="U88">
        <f t="shared" ref="U88" si="220">SUM($D$88+$E$88)</f>
        <v>267653972.29999998</v>
      </c>
      <c r="V88">
        <v>85077550</v>
      </c>
      <c r="W88">
        <v>182576422.29999998</v>
      </c>
      <c r="X88">
        <f t="shared" ref="X88" si="221">SUM($D$88+$E$88)</f>
        <v>267653972.29999998</v>
      </c>
      <c r="Y88">
        <v>85077550</v>
      </c>
      <c r="Z88">
        <v>182576422.29999998</v>
      </c>
      <c r="AA88">
        <f t="shared" ref="AA88" si="222">SUM($D$88+$E$88)</f>
        <v>267653972.29999998</v>
      </c>
      <c r="AB88">
        <v>85077550</v>
      </c>
      <c r="AC88">
        <v>182576422.29999998</v>
      </c>
      <c r="AD88">
        <f t="shared" ref="AD88" si="223">SUM($D$88+$E$88)</f>
        <v>267653972.29999998</v>
      </c>
      <c r="AE88">
        <v>85077550</v>
      </c>
      <c r="AF88">
        <v>182576422.29999998</v>
      </c>
      <c r="AG88">
        <f t="shared" ref="AG88" si="224">SUM($D$88+$E$88)</f>
        <v>267653972.29999998</v>
      </c>
      <c r="AH88">
        <v>85077550</v>
      </c>
      <c r="AI88">
        <v>182576422.29999998</v>
      </c>
      <c r="AJ88">
        <f t="shared" ref="AJ88" si="225">SUM($D$88+$E$88)</f>
        <v>267653972.29999998</v>
      </c>
      <c r="AK88">
        <v>88118890</v>
      </c>
      <c r="AL88">
        <v>196231956.141</v>
      </c>
      <c r="AM88">
        <f>SUM($AK$88+$AL$88)</f>
        <v>284350846.14100003</v>
      </c>
      <c r="AO88" s="15"/>
      <c r="AP88" s="16"/>
    </row>
    <row r="89" spans="2:42">
      <c r="B89" s="3" t="s">
        <v>325</v>
      </c>
      <c r="C89" t="s">
        <v>302</v>
      </c>
      <c r="D89">
        <v>712816979</v>
      </c>
      <c r="E89">
        <v>5644940220.0967999</v>
      </c>
      <c r="F89">
        <f>SUM($D$89+$E$89)</f>
        <v>6357757199.0967999</v>
      </c>
      <c r="G89">
        <v>712816979</v>
      </c>
      <c r="H89">
        <v>5644940220.0967999</v>
      </c>
      <c r="I89">
        <f t="shared" ref="I89" si="226">SUM($D$89+$E$89)</f>
        <v>6357757199.0967999</v>
      </c>
      <c r="J89">
        <v>712816979</v>
      </c>
      <c r="K89">
        <v>5644940220.0967999</v>
      </c>
      <c r="L89">
        <f t="shared" ref="L89" si="227">SUM($D$89+$E$89)</f>
        <v>6357757199.0967999</v>
      </c>
      <c r="M89">
        <v>712816979</v>
      </c>
      <c r="N89">
        <v>5644940220.0967999</v>
      </c>
      <c r="O89">
        <f t="shared" ref="O89" si="228">SUM($D$89+$E$89)</f>
        <v>6357757199.0967999</v>
      </c>
      <c r="P89">
        <v>712816979</v>
      </c>
      <c r="Q89">
        <v>5644940220.0967999</v>
      </c>
      <c r="R89">
        <f t="shared" ref="R89" si="229">SUM($D$89+$E$89)</f>
        <v>6357757199.0967999</v>
      </c>
      <c r="S89">
        <v>712816979</v>
      </c>
      <c r="T89">
        <v>5644940220.0967999</v>
      </c>
      <c r="U89">
        <f t="shared" ref="U89" si="230">SUM($D$89+$E$89)</f>
        <v>6357757199.0967999</v>
      </c>
      <c r="V89">
        <v>712816979</v>
      </c>
      <c r="W89">
        <v>5644940220.0967999</v>
      </c>
      <c r="X89">
        <f t="shared" ref="X89" si="231">SUM($D$89+$E$89)</f>
        <v>6357757199.0967999</v>
      </c>
      <c r="Y89">
        <v>712816979</v>
      </c>
      <c r="Z89">
        <v>5644940220.0967999</v>
      </c>
      <c r="AA89">
        <f t="shared" ref="AA89" si="232">SUM($D$89+$E$89)</f>
        <v>6357757199.0967999</v>
      </c>
      <c r="AB89">
        <v>712816979</v>
      </c>
      <c r="AC89">
        <v>5644940220.0967999</v>
      </c>
      <c r="AD89">
        <f t="shared" ref="AD89" si="233">SUM($D$89+$E$89)</f>
        <v>6357757199.0967999</v>
      </c>
      <c r="AE89">
        <v>712816979</v>
      </c>
      <c r="AF89">
        <v>5644940220.0967999</v>
      </c>
      <c r="AG89">
        <f t="shared" ref="AG89" si="234">SUM($D$89+$E$89)</f>
        <v>6357757199.0967999</v>
      </c>
      <c r="AH89">
        <v>712816979</v>
      </c>
      <c r="AI89">
        <v>5644940220.0967999</v>
      </c>
      <c r="AJ89">
        <f t="shared" ref="AJ89" si="235">SUM($D$89+$E$89)</f>
        <v>6357757199.0967999</v>
      </c>
      <c r="AK89">
        <v>967373669</v>
      </c>
      <c r="AL89">
        <v>8510082903.5599003</v>
      </c>
      <c r="AM89">
        <f>SUM($AK$89+$AL$89)</f>
        <v>9477456572.5599003</v>
      </c>
      <c r="AO89" s="15">
        <f t="shared" si="30"/>
        <v>0.4906918077818847</v>
      </c>
      <c r="AP89" s="16"/>
    </row>
    <row r="90" spans="2:42">
      <c r="B90" t="s">
        <v>326</v>
      </c>
      <c r="C90" t="s">
        <v>303</v>
      </c>
      <c r="D90">
        <v>29066955</v>
      </c>
      <c r="E90">
        <v>9542681.3265000004</v>
      </c>
      <c r="F90">
        <f>SUM($D$90+$E$90)</f>
        <v>38609636.326499999</v>
      </c>
      <c r="G90">
        <v>29066955</v>
      </c>
      <c r="H90">
        <v>9542681.3265000004</v>
      </c>
      <c r="I90">
        <f t="shared" ref="I90" si="236">SUM($D$90+$E$90)</f>
        <v>38609636.326499999</v>
      </c>
      <c r="J90">
        <v>29066955</v>
      </c>
      <c r="K90">
        <v>9542681.3265000004</v>
      </c>
      <c r="L90">
        <f t="shared" ref="L90" si="237">SUM($D$90+$E$90)</f>
        <v>38609636.326499999</v>
      </c>
      <c r="M90">
        <v>29066955</v>
      </c>
      <c r="N90">
        <v>9542681.3265000004</v>
      </c>
      <c r="O90">
        <f t="shared" ref="O90" si="238">SUM($D$90+$E$90)</f>
        <v>38609636.326499999</v>
      </c>
      <c r="P90">
        <v>29066955</v>
      </c>
      <c r="Q90">
        <v>9542681.3265000004</v>
      </c>
      <c r="R90">
        <f t="shared" ref="R90" si="239">SUM($D$90+$E$90)</f>
        <v>38609636.326499999</v>
      </c>
      <c r="S90">
        <v>29066955</v>
      </c>
      <c r="T90">
        <v>9542681.3265000004</v>
      </c>
      <c r="U90">
        <f t="shared" ref="U90" si="240">SUM($D$90+$E$90)</f>
        <v>38609636.326499999</v>
      </c>
      <c r="V90">
        <v>29066955</v>
      </c>
      <c r="W90">
        <v>9542681.3265000004</v>
      </c>
      <c r="X90">
        <f t="shared" ref="X90" si="241">SUM($D$90+$E$90)</f>
        <v>38609636.326499999</v>
      </c>
      <c r="Y90">
        <v>29066955</v>
      </c>
      <c r="Z90">
        <v>9542681.3265000004</v>
      </c>
      <c r="AA90">
        <f t="shared" ref="AA90" si="242">SUM($D$90+$E$90)</f>
        <v>38609636.326499999</v>
      </c>
      <c r="AB90">
        <v>29066955</v>
      </c>
      <c r="AC90">
        <v>9542681.3265000004</v>
      </c>
      <c r="AD90">
        <f t="shared" ref="AD90" si="243">SUM($D$90+$E$90)</f>
        <v>38609636.326499999</v>
      </c>
      <c r="AE90">
        <v>29066955</v>
      </c>
      <c r="AF90">
        <v>9542681.3265000004</v>
      </c>
      <c r="AG90">
        <f t="shared" ref="AG90" si="244">SUM($D$90+$E$90)</f>
        <v>38609636.326499999</v>
      </c>
      <c r="AH90">
        <v>29066955</v>
      </c>
      <c r="AI90">
        <v>9542681.3265000004</v>
      </c>
      <c r="AJ90">
        <f t="shared" ref="AJ90" si="245">SUM($D$90+$E$90)</f>
        <v>38609636.326499999</v>
      </c>
      <c r="AK90">
        <v>36135685</v>
      </c>
      <c r="AL90">
        <v>15448005.3375</v>
      </c>
      <c r="AM90">
        <f>SUM($AK$90+$AL$90)</f>
        <v>51583690.337499999</v>
      </c>
      <c r="AO90" s="15">
        <f t="shared" si="30"/>
        <v>0.33603150004536997</v>
      </c>
      <c r="AP90" s="16"/>
    </row>
    <row r="91" spans="2:42">
      <c r="B91" s="1" t="s">
        <v>327</v>
      </c>
      <c r="C91" t="s">
        <v>305</v>
      </c>
      <c r="D91">
        <v>6363658</v>
      </c>
      <c r="E91">
        <v>2056097.8998000002</v>
      </c>
      <c r="F91">
        <f>SUM($D$91+$E$91)</f>
        <v>8419755.8998000007</v>
      </c>
      <c r="G91">
        <v>6363658</v>
      </c>
      <c r="H91">
        <v>2056097.8998000002</v>
      </c>
      <c r="I91">
        <f t="shared" ref="I91" si="246">SUM($D$91+$E$91)</f>
        <v>8419755.8998000007</v>
      </c>
      <c r="J91">
        <v>6363658</v>
      </c>
      <c r="K91">
        <v>2056097.8998000002</v>
      </c>
      <c r="L91">
        <f t="shared" ref="L91" si="247">SUM($D$91+$E$91)</f>
        <v>8419755.8998000007</v>
      </c>
      <c r="M91">
        <v>6363658</v>
      </c>
      <c r="N91">
        <v>2056097.8998000002</v>
      </c>
      <c r="O91">
        <f t="shared" ref="O91" si="248">SUM($D$91+$E$91)</f>
        <v>8419755.8998000007</v>
      </c>
      <c r="P91">
        <v>6363658</v>
      </c>
      <c r="Q91">
        <v>2056097.8998000002</v>
      </c>
      <c r="R91">
        <f t="shared" ref="R91" si="249">SUM($D$91+$E$91)</f>
        <v>8419755.8998000007</v>
      </c>
      <c r="S91">
        <v>6363658</v>
      </c>
      <c r="T91">
        <v>2056097.8998000002</v>
      </c>
      <c r="U91">
        <f t="shared" ref="U91" si="250">SUM($D$91+$E$91)</f>
        <v>8419755.8998000007</v>
      </c>
      <c r="V91">
        <v>6363658</v>
      </c>
      <c r="W91">
        <v>2056097.8998000002</v>
      </c>
      <c r="X91">
        <f t="shared" ref="X91" si="251">SUM($D$91+$E$91)</f>
        <v>8419755.8998000007</v>
      </c>
      <c r="Y91">
        <v>6363658</v>
      </c>
      <c r="Z91">
        <v>2056097.8998000002</v>
      </c>
      <c r="AA91">
        <f t="shared" ref="AA91" si="252">SUM($D$91+$E$91)</f>
        <v>8419755.8998000007</v>
      </c>
      <c r="AB91">
        <v>6363658</v>
      </c>
      <c r="AC91">
        <v>2056097.8998000002</v>
      </c>
      <c r="AD91">
        <f t="shared" ref="AD91" si="253">SUM($D$91+$E$91)</f>
        <v>8419755.8998000007</v>
      </c>
      <c r="AE91">
        <v>6363658</v>
      </c>
      <c r="AF91">
        <v>2056097.8998000002</v>
      </c>
      <c r="AG91">
        <f t="shared" ref="AG91" si="254">SUM($D$91+$E$91)</f>
        <v>8419755.8998000007</v>
      </c>
      <c r="AH91">
        <v>6363658</v>
      </c>
      <c r="AI91">
        <v>2056097.8998000002</v>
      </c>
      <c r="AJ91">
        <f t="shared" ref="AJ91" si="255">SUM($D$91+$E$91)</f>
        <v>8419755.8998000007</v>
      </c>
      <c r="AK91">
        <v>12682057</v>
      </c>
      <c r="AL91">
        <v>7406321.2879999997</v>
      </c>
      <c r="AM91">
        <f>SUM($AK$91+$AL$91)</f>
        <v>20088378.287999999</v>
      </c>
      <c r="AO91" s="15">
        <f t="shared" si="30"/>
        <v>1.3858623132384595</v>
      </c>
      <c r="AP91" s="16"/>
    </row>
    <row r="92" spans="2:42">
      <c r="B92" s="2" t="s">
        <v>328</v>
      </c>
      <c r="C92" t="s">
        <v>307</v>
      </c>
      <c r="D92">
        <v>327764867</v>
      </c>
      <c r="E92">
        <v>1588709086.8357</v>
      </c>
      <c r="F92">
        <f>SUM($D$92+$E$92)</f>
        <v>1916473953.8357</v>
      </c>
      <c r="G92">
        <v>327764867</v>
      </c>
      <c r="H92">
        <v>1588709086.8357</v>
      </c>
      <c r="I92">
        <f t="shared" ref="I92" si="256">SUM($D$92+$E$92)</f>
        <v>1916473953.8357</v>
      </c>
      <c r="J92">
        <v>327764867</v>
      </c>
      <c r="K92">
        <v>1588709086.8357</v>
      </c>
      <c r="L92">
        <f t="shared" ref="L92" si="257">SUM($D$92+$E$92)</f>
        <v>1916473953.8357</v>
      </c>
      <c r="M92">
        <v>327764867</v>
      </c>
      <c r="N92">
        <v>1588709086.8357</v>
      </c>
      <c r="O92">
        <f t="shared" ref="O92" si="258">SUM($D$92+$E$92)</f>
        <v>1916473953.8357</v>
      </c>
      <c r="P92">
        <v>327764867</v>
      </c>
      <c r="Q92">
        <v>1588709086.8357</v>
      </c>
      <c r="R92">
        <f t="shared" ref="R92" si="259">SUM($D$92+$E$92)</f>
        <v>1916473953.8357</v>
      </c>
      <c r="S92">
        <v>327764867</v>
      </c>
      <c r="T92">
        <v>1588709086.8357</v>
      </c>
      <c r="U92">
        <f t="shared" ref="U92" si="260">SUM($D$92+$E$92)</f>
        <v>1916473953.8357</v>
      </c>
      <c r="V92">
        <v>327764867</v>
      </c>
      <c r="W92">
        <v>1588709086.8357</v>
      </c>
      <c r="X92">
        <f t="shared" ref="X92" si="261">SUM($D$92+$E$92)</f>
        <v>1916473953.8357</v>
      </c>
      <c r="Y92">
        <v>327764867</v>
      </c>
      <c r="Z92">
        <v>1588709086.8357</v>
      </c>
      <c r="AA92">
        <f t="shared" ref="AA92" si="262">SUM($D$92+$E$92)</f>
        <v>1916473953.8357</v>
      </c>
      <c r="AB92">
        <v>327764867</v>
      </c>
      <c r="AC92">
        <v>1588709086.8357</v>
      </c>
      <c r="AD92">
        <f t="shared" ref="AD92" si="263">SUM($D$92+$E$92)</f>
        <v>1916473953.8357</v>
      </c>
      <c r="AE92">
        <v>327764867</v>
      </c>
      <c r="AF92">
        <v>1588709086.8357</v>
      </c>
      <c r="AG92">
        <f t="shared" ref="AG92" si="264">SUM($D$92+$E$92)</f>
        <v>1916473953.8357</v>
      </c>
      <c r="AH92">
        <v>327764867</v>
      </c>
      <c r="AI92">
        <v>1588709086.8357</v>
      </c>
      <c r="AJ92">
        <f t="shared" ref="AJ92" si="265">SUM($D$92+$E$92)</f>
        <v>1916473953.8357</v>
      </c>
      <c r="AK92">
        <v>375708379</v>
      </c>
      <c r="AL92">
        <v>1949024786.9003999</v>
      </c>
      <c r="AM92">
        <f>SUM($AK$92+$AL$92)</f>
        <v>2324733165.9004002</v>
      </c>
      <c r="AO92" s="15">
        <f t="shared" si="30"/>
        <v>0.21302622519215331</v>
      </c>
      <c r="AP92" s="16"/>
    </row>
    <row r="93" spans="2:42">
      <c r="B93" s="2" t="s">
        <v>329</v>
      </c>
      <c r="C93" t="s">
        <v>309</v>
      </c>
      <c r="D93">
        <v>382981126</v>
      </c>
      <c r="E93">
        <v>1829500838.902</v>
      </c>
      <c r="F93">
        <f>SUM($D$93+$E$93)</f>
        <v>2212481964.902</v>
      </c>
      <c r="G93">
        <v>382981126</v>
      </c>
      <c r="H93">
        <v>1829500838.902</v>
      </c>
      <c r="I93">
        <f t="shared" ref="I93" si="266">SUM($D$93+$E$93)</f>
        <v>2212481964.902</v>
      </c>
      <c r="J93">
        <v>382981126</v>
      </c>
      <c r="K93">
        <v>1829500838.902</v>
      </c>
      <c r="L93">
        <f t="shared" ref="L93" si="267">SUM($D$93+$E$93)</f>
        <v>2212481964.902</v>
      </c>
      <c r="M93">
        <v>382981126</v>
      </c>
      <c r="N93">
        <v>1829500838.902</v>
      </c>
      <c r="O93">
        <f t="shared" ref="O93" si="268">SUM($D$93+$E$93)</f>
        <v>2212481964.902</v>
      </c>
      <c r="P93">
        <v>382981126</v>
      </c>
      <c r="Q93">
        <v>1829500838.902</v>
      </c>
      <c r="R93">
        <f t="shared" ref="R93" si="269">SUM($D$93+$E$93)</f>
        <v>2212481964.902</v>
      </c>
      <c r="S93">
        <v>382981126</v>
      </c>
      <c r="T93">
        <v>1829500838.902</v>
      </c>
      <c r="U93">
        <f t="shared" ref="U93" si="270">SUM($D$93+$E$93)</f>
        <v>2212481964.902</v>
      </c>
      <c r="V93">
        <v>382981126</v>
      </c>
      <c r="W93">
        <v>1829500838.902</v>
      </c>
      <c r="X93">
        <f t="shared" ref="X93" si="271">SUM($D$93+$E$93)</f>
        <v>2212481964.902</v>
      </c>
      <c r="Y93">
        <v>382981126</v>
      </c>
      <c r="Z93">
        <v>1829500838.902</v>
      </c>
      <c r="AA93">
        <f t="shared" ref="AA93" si="272">SUM($D$93+$E$93)</f>
        <v>2212481964.902</v>
      </c>
      <c r="AB93">
        <v>382981126</v>
      </c>
      <c r="AC93">
        <v>1829500838.902</v>
      </c>
      <c r="AD93">
        <f t="shared" ref="AD93" si="273">SUM($D$93+$E$93)</f>
        <v>2212481964.902</v>
      </c>
      <c r="AE93">
        <v>382981126</v>
      </c>
      <c r="AF93">
        <v>1829500838.902</v>
      </c>
      <c r="AG93">
        <f t="shared" ref="AG93" si="274">SUM($D$93+$E$93)</f>
        <v>2212481964.902</v>
      </c>
      <c r="AH93">
        <v>382981126</v>
      </c>
      <c r="AI93">
        <v>1829500838.902</v>
      </c>
      <c r="AJ93">
        <f t="shared" ref="AJ93" si="275">SUM($D$93+$E$93)</f>
        <v>2212481964.902</v>
      </c>
      <c r="AK93">
        <v>497914400</v>
      </c>
      <c r="AL93">
        <v>2707309967.1199999</v>
      </c>
      <c r="AM93">
        <f>SUM($AK$93+$AL$93)</f>
        <v>3205224367.1199999</v>
      </c>
      <c r="AO93" s="15">
        <f t="shared" si="30"/>
        <v>0.44870078851104789</v>
      </c>
      <c r="AP93" s="16"/>
    </row>
    <row r="94" spans="2:42">
      <c r="B94" t="s">
        <v>330</v>
      </c>
      <c r="C94" t="s">
        <v>311</v>
      </c>
      <c r="D94">
        <v>242331115</v>
      </c>
      <c r="E94">
        <v>609390054.89049995</v>
      </c>
      <c r="F94">
        <f>SUM($D$94+$E$94)</f>
        <v>851721169.89049995</v>
      </c>
      <c r="G94">
        <v>242331115</v>
      </c>
      <c r="H94">
        <v>609390054.89049995</v>
      </c>
      <c r="I94">
        <f t="shared" ref="I94" si="276">SUM($D$94+$E$94)</f>
        <v>851721169.89049995</v>
      </c>
      <c r="J94">
        <v>242331115</v>
      </c>
      <c r="K94">
        <v>609390054.89049995</v>
      </c>
      <c r="L94">
        <f t="shared" ref="L94" si="277">SUM($D$94+$E$94)</f>
        <v>851721169.89049995</v>
      </c>
      <c r="M94">
        <v>242331115</v>
      </c>
      <c r="N94">
        <v>609390054.89049995</v>
      </c>
      <c r="O94">
        <f t="shared" ref="O94" si="278">SUM($D$94+$E$94)</f>
        <v>851721169.89049995</v>
      </c>
      <c r="P94">
        <v>242331115</v>
      </c>
      <c r="Q94">
        <v>609390054.89049995</v>
      </c>
      <c r="R94">
        <f t="shared" ref="R94" si="279">SUM($D$94+$E$94)</f>
        <v>851721169.89049995</v>
      </c>
      <c r="S94">
        <v>242331115</v>
      </c>
      <c r="T94">
        <v>609390054.89049995</v>
      </c>
      <c r="U94">
        <f t="shared" ref="U94" si="280">SUM($D$94+$E$94)</f>
        <v>851721169.89049995</v>
      </c>
      <c r="V94">
        <v>242331115</v>
      </c>
      <c r="W94">
        <v>609390054.89049995</v>
      </c>
      <c r="X94">
        <f t="shared" ref="X94" si="281">SUM($D$94+$E$94)</f>
        <v>851721169.89049995</v>
      </c>
      <c r="Y94">
        <v>242331115</v>
      </c>
      <c r="Z94">
        <v>609390054.89049995</v>
      </c>
      <c r="AA94">
        <f t="shared" ref="AA94" si="282">SUM($D$94+$E$94)</f>
        <v>851721169.89049995</v>
      </c>
      <c r="AB94">
        <v>242331115</v>
      </c>
      <c r="AC94">
        <v>609390054.89049995</v>
      </c>
      <c r="AD94">
        <f t="shared" ref="AD94" si="283">SUM($D$94+$E$94)</f>
        <v>851721169.89049995</v>
      </c>
      <c r="AE94">
        <v>242331115</v>
      </c>
      <c r="AF94">
        <v>609390054.89049995</v>
      </c>
      <c r="AG94">
        <f t="shared" ref="AG94" si="284">SUM($D$94+$E$94)</f>
        <v>851721169.89049995</v>
      </c>
      <c r="AH94">
        <v>242331115</v>
      </c>
      <c r="AI94">
        <v>609390054.89049995</v>
      </c>
      <c r="AJ94">
        <f t="shared" ref="AJ94" si="285">SUM($D$94+$E$94)</f>
        <v>851721169.89049995</v>
      </c>
      <c r="AK94">
        <v>244020910</v>
      </c>
      <c r="AL94">
        <v>621618866.13400006</v>
      </c>
      <c r="AM94">
        <f>SUM($AK$94+$AL$94)</f>
        <v>865639776.13400006</v>
      </c>
      <c r="AO94" s="15"/>
      <c r="AP94" s="16"/>
    </row>
    <row r="95" spans="2:42">
      <c r="B95" s="2" t="s">
        <v>331</v>
      </c>
      <c r="C95" s="2" t="s">
        <v>313</v>
      </c>
      <c r="D95">
        <v>595663869</v>
      </c>
      <c r="E95">
        <v>3497261707.6728001</v>
      </c>
      <c r="F95">
        <f>SUM($D$95+$E$95)</f>
        <v>4092925576.6728001</v>
      </c>
      <c r="G95">
        <v>595663869</v>
      </c>
      <c r="H95">
        <v>3497261707.6728001</v>
      </c>
      <c r="I95">
        <f t="shared" ref="I95" si="286">SUM($D$95+$E$95)</f>
        <v>4092925576.6728001</v>
      </c>
      <c r="J95">
        <v>595663869</v>
      </c>
      <c r="K95">
        <v>3497261707.6728001</v>
      </c>
      <c r="L95">
        <f t="shared" ref="L95" si="287">SUM($D$95+$E$95)</f>
        <v>4092925576.6728001</v>
      </c>
      <c r="M95">
        <v>595663869</v>
      </c>
      <c r="N95">
        <v>3497261707.6728001</v>
      </c>
      <c r="O95">
        <f t="shared" ref="O95" si="288">SUM($D$95+$E$95)</f>
        <v>4092925576.6728001</v>
      </c>
      <c r="P95">
        <v>595663869</v>
      </c>
      <c r="Q95">
        <v>3497261707.6728001</v>
      </c>
      <c r="R95">
        <f t="shared" ref="R95" si="289">SUM($D$95+$E$95)</f>
        <v>4092925576.6728001</v>
      </c>
      <c r="S95">
        <v>595663869</v>
      </c>
      <c r="T95">
        <v>3497261707.6728001</v>
      </c>
      <c r="U95">
        <f t="shared" ref="U95" si="290">SUM($D$95+$E$95)</f>
        <v>4092925576.6728001</v>
      </c>
      <c r="V95">
        <v>595663869</v>
      </c>
      <c r="W95">
        <v>3497261707.6728001</v>
      </c>
      <c r="X95">
        <f t="shared" ref="X95" si="291">SUM($D$95+$E$95)</f>
        <v>4092925576.6728001</v>
      </c>
      <c r="Y95">
        <v>595663869</v>
      </c>
      <c r="Z95">
        <v>3497261707.6728001</v>
      </c>
      <c r="AA95">
        <f t="shared" ref="AA95" si="292">SUM($D$95+$E$95)</f>
        <v>4092925576.6728001</v>
      </c>
      <c r="AB95">
        <v>595663869</v>
      </c>
      <c r="AC95">
        <v>3497261707.6728001</v>
      </c>
      <c r="AD95">
        <f t="shared" ref="AD95" si="293">SUM($D$95+$E$95)</f>
        <v>4092925576.6728001</v>
      </c>
      <c r="AE95">
        <v>595663869</v>
      </c>
      <c r="AF95">
        <v>3497261707.6728001</v>
      </c>
      <c r="AG95">
        <f t="shared" ref="AG95" si="294">SUM($D$95+$E$95)</f>
        <v>4092925576.6728001</v>
      </c>
      <c r="AH95">
        <v>595663869</v>
      </c>
      <c r="AI95">
        <v>3497261707.6728001</v>
      </c>
      <c r="AJ95">
        <f t="shared" ref="AJ95" si="295">SUM($D$95+$E$95)</f>
        <v>4092925576.6728001</v>
      </c>
      <c r="AK95">
        <v>701636174</v>
      </c>
      <c r="AL95">
        <v>4456231668.3087997</v>
      </c>
      <c r="AM95">
        <f>SUM($AK$95+$AL$95)</f>
        <v>5157867842.3087997</v>
      </c>
      <c r="AO95" s="15">
        <f t="shared" si="30"/>
        <v>0.26019096748436521</v>
      </c>
      <c r="AP95" s="16"/>
    </row>
    <row r="96" spans="2:42">
      <c r="B96" t="s">
        <v>332</v>
      </c>
      <c r="C96" t="s">
        <v>315</v>
      </c>
      <c r="D96">
        <v>637378076</v>
      </c>
      <c r="E96">
        <v>4931011747.1664</v>
      </c>
      <c r="F96">
        <f>SUM($D$96+$E$96)</f>
        <v>5568389823.1664</v>
      </c>
      <c r="G96">
        <v>637378076</v>
      </c>
      <c r="H96">
        <v>4931011747.1664</v>
      </c>
      <c r="I96">
        <f t="shared" ref="I96" si="296">SUM($D$96+$E$96)</f>
        <v>5568389823.1664</v>
      </c>
      <c r="J96">
        <v>637378076</v>
      </c>
      <c r="K96">
        <v>4931011747.1664</v>
      </c>
      <c r="L96">
        <f t="shared" ref="L96" si="297">SUM($D$96+$E$96)</f>
        <v>5568389823.1664</v>
      </c>
      <c r="M96">
        <v>637378076</v>
      </c>
      <c r="N96">
        <v>4931011747.1664</v>
      </c>
      <c r="O96">
        <f t="shared" ref="O96" si="298">SUM($D$96+$E$96)</f>
        <v>5568389823.1664</v>
      </c>
      <c r="P96">
        <v>637378076</v>
      </c>
      <c r="Q96">
        <v>4931011747.1664</v>
      </c>
      <c r="R96">
        <f t="shared" ref="R96" si="299">SUM($D$96+$E$96)</f>
        <v>5568389823.1664</v>
      </c>
      <c r="S96">
        <v>637378076</v>
      </c>
      <c r="T96">
        <v>4931011747.1664</v>
      </c>
      <c r="U96">
        <f t="shared" ref="U96" si="300">SUM($D$96+$E$96)</f>
        <v>5568389823.1664</v>
      </c>
      <c r="V96">
        <v>637378076</v>
      </c>
      <c r="W96">
        <v>4931011747.1664</v>
      </c>
      <c r="X96">
        <f t="shared" ref="X96" si="301">SUM($D$96+$E$96)</f>
        <v>5568389823.1664</v>
      </c>
      <c r="Y96">
        <v>637378076</v>
      </c>
      <c r="Z96">
        <v>4931011747.1664</v>
      </c>
      <c r="AA96">
        <f t="shared" ref="AA96" si="302">SUM($D$96+$E$96)</f>
        <v>5568389823.1664</v>
      </c>
      <c r="AB96">
        <v>637378076</v>
      </c>
      <c r="AC96">
        <v>4931011747.1664</v>
      </c>
      <c r="AD96">
        <f t="shared" ref="AD96" si="303">SUM($D$96+$E$96)</f>
        <v>5568389823.1664</v>
      </c>
      <c r="AE96">
        <v>637378076</v>
      </c>
      <c r="AF96">
        <v>4931011747.1664</v>
      </c>
      <c r="AG96">
        <f t="shared" ref="AG96" si="304">SUM($D$96+$E$96)</f>
        <v>5568389823.1664</v>
      </c>
      <c r="AH96">
        <v>637378076</v>
      </c>
      <c r="AI96">
        <v>4931011747.1664</v>
      </c>
      <c r="AJ96">
        <f t="shared" ref="AJ96" si="305">SUM($D$96+$E$96)</f>
        <v>5568389823.1664</v>
      </c>
      <c r="AK96">
        <v>665869371</v>
      </c>
      <c r="AL96">
        <v>5217086521.7849998</v>
      </c>
      <c r="AM96">
        <f>SUM($AK$96+$AL$96)</f>
        <v>5882955892.7849998</v>
      </c>
      <c r="AO96" s="15"/>
      <c r="AP96" s="16"/>
    </row>
    <row r="97" spans="2:42">
      <c r="B97" t="s">
        <v>333</v>
      </c>
      <c r="C97" t="s">
        <v>317</v>
      </c>
      <c r="D97">
        <v>299102135</v>
      </c>
      <c r="E97">
        <v>815412240.43700004</v>
      </c>
      <c r="F97">
        <f>SUM($D$97+$E$97)</f>
        <v>1114514375.437</v>
      </c>
      <c r="G97">
        <v>299102135</v>
      </c>
      <c r="H97">
        <v>815412240.43700004</v>
      </c>
      <c r="I97">
        <f t="shared" ref="I97" si="306">SUM($D$97+$E$97)</f>
        <v>1114514375.437</v>
      </c>
      <c r="J97">
        <v>299102135</v>
      </c>
      <c r="K97">
        <v>815412240.43700004</v>
      </c>
      <c r="L97">
        <f t="shared" ref="L97" si="307">SUM($D$97+$E$97)</f>
        <v>1114514375.437</v>
      </c>
      <c r="M97">
        <v>299102135</v>
      </c>
      <c r="N97">
        <v>815412240.43700004</v>
      </c>
      <c r="O97">
        <f t="shared" ref="O97" si="308">SUM($D$97+$E$97)</f>
        <v>1114514375.437</v>
      </c>
      <c r="P97">
        <v>299102135</v>
      </c>
      <c r="Q97">
        <v>815412240.43700004</v>
      </c>
      <c r="R97">
        <f t="shared" ref="R97" si="309">SUM($D$97+$E$97)</f>
        <v>1114514375.437</v>
      </c>
      <c r="S97">
        <v>299102135</v>
      </c>
      <c r="T97">
        <v>815412240.43700004</v>
      </c>
      <c r="U97">
        <f t="shared" ref="U97" si="310">SUM($D$97+$E$97)</f>
        <v>1114514375.437</v>
      </c>
      <c r="V97">
        <v>299102135</v>
      </c>
      <c r="W97">
        <v>815412240.43700004</v>
      </c>
      <c r="X97">
        <f t="shared" ref="X97" si="311">SUM($D$97+$E$97)</f>
        <v>1114514375.437</v>
      </c>
      <c r="Y97">
        <v>299102135</v>
      </c>
      <c r="Z97">
        <v>815412240.43700004</v>
      </c>
      <c r="AA97">
        <f t="shared" ref="AA97" si="312">SUM($D$97+$E$97)</f>
        <v>1114514375.437</v>
      </c>
      <c r="AB97">
        <v>299102135</v>
      </c>
      <c r="AC97">
        <v>815412240.43700004</v>
      </c>
      <c r="AD97">
        <f t="shared" ref="AD97" si="313">SUM($D$97+$E$97)</f>
        <v>1114514375.437</v>
      </c>
      <c r="AE97">
        <v>299102135</v>
      </c>
      <c r="AF97">
        <v>815412240.43700004</v>
      </c>
      <c r="AG97">
        <f t="shared" ref="AG97" si="314">SUM($D$97+$E$97)</f>
        <v>1114514375.437</v>
      </c>
      <c r="AH97">
        <v>299102135</v>
      </c>
      <c r="AI97">
        <v>815412240.43700004</v>
      </c>
      <c r="AJ97">
        <f t="shared" ref="AJ97" si="315">SUM($D$97+$E$97)</f>
        <v>1114514375.437</v>
      </c>
      <c r="AK97">
        <v>390170549</v>
      </c>
      <c r="AL97">
        <v>1322990297.5491998</v>
      </c>
      <c r="AM97">
        <f>SUM($AK$97+$AL$97)</f>
        <v>1713160846.5491998</v>
      </c>
      <c r="AO97" s="15">
        <f t="shared" si="30"/>
        <v>0.53713660793067031</v>
      </c>
      <c r="AP97" s="16"/>
    </row>
    <row r="98" spans="2:42">
      <c r="B98" s="2" t="s">
        <v>335</v>
      </c>
      <c r="C98" t="s">
        <v>298</v>
      </c>
      <c r="D98">
        <v>284177554</v>
      </c>
      <c r="E98">
        <v>903741457.23079991</v>
      </c>
      <c r="F98">
        <f>SUM($D$98+$E$98)</f>
        <v>1187919011.2307999</v>
      </c>
      <c r="G98">
        <v>284177554</v>
      </c>
      <c r="H98">
        <v>903741457.23079991</v>
      </c>
      <c r="I98">
        <f t="shared" ref="I98" si="316">SUM($D$98+$E$98)</f>
        <v>1187919011.2307999</v>
      </c>
      <c r="J98">
        <v>284177554</v>
      </c>
      <c r="K98">
        <v>903741457.23079991</v>
      </c>
      <c r="L98">
        <f t="shared" ref="L98" si="317">SUM($D$98+$E$98)</f>
        <v>1187919011.2307999</v>
      </c>
      <c r="M98">
        <v>284177554</v>
      </c>
      <c r="N98">
        <v>903741457.23079991</v>
      </c>
      <c r="O98">
        <f t="shared" ref="O98" si="318">SUM($D$98+$E$98)</f>
        <v>1187919011.2307999</v>
      </c>
      <c r="P98">
        <v>284177554</v>
      </c>
      <c r="Q98">
        <v>903741457.23079991</v>
      </c>
      <c r="R98">
        <f t="shared" ref="R98" si="319">SUM($D$98+$E$98)</f>
        <v>1187919011.2307999</v>
      </c>
      <c r="S98">
        <v>284177554</v>
      </c>
      <c r="T98">
        <v>903741457.23079991</v>
      </c>
      <c r="U98">
        <f t="shared" ref="U98" si="320">SUM($D$98+$E$98)</f>
        <v>1187919011.2307999</v>
      </c>
      <c r="V98">
        <v>284177554</v>
      </c>
      <c r="W98">
        <v>903741457.23079991</v>
      </c>
      <c r="X98">
        <f t="shared" ref="X98" si="321">SUM($D$98+$E$98)</f>
        <v>1187919011.2307999</v>
      </c>
      <c r="Y98">
        <v>284177554</v>
      </c>
      <c r="Z98">
        <v>903741457.23079991</v>
      </c>
      <c r="AA98">
        <f t="shared" ref="AA98" si="322">SUM($D$98+$E$98)</f>
        <v>1187919011.2307999</v>
      </c>
      <c r="AB98">
        <v>284177554</v>
      </c>
      <c r="AC98">
        <v>903741457.23079991</v>
      </c>
      <c r="AD98">
        <f t="shared" ref="AD98" si="323">SUM($D$98+$E$98)</f>
        <v>1187919011.2307999</v>
      </c>
      <c r="AE98">
        <v>284177554</v>
      </c>
      <c r="AF98">
        <v>903741457.23079991</v>
      </c>
      <c r="AG98">
        <f t="shared" ref="AG98" si="324">SUM($D$98+$E$98)</f>
        <v>1187919011.2307999</v>
      </c>
      <c r="AH98">
        <v>284177554</v>
      </c>
      <c r="AI98">
        <v>903741457.23079991</v>
      </c>
      <c r="AJ98">
        <f t="shared" ref="AJ98" si="325">SUM($D$98+$E$98)</f>
        <v>1187919011.2307999</v>
      </c>
      <c r="AK98">
        <v>300845000</v>
      </c>
      <c r="AL98">
        <v>1021639535.4999999</v>
      </c>
      <c r="AM98">
        <f>SUM($AK$98+$AL$98)</f>
        <v>1322484535.5</v>
      </c>
      <c r="AO98" s="15">
        <f t="shared" si="30"/>
        <v>0.11327836577830097</v>
      </c>
      <c r="AP98" s="16"/>
    </row>
    <row r="99" spans="2:42">
      <c r="B99" t="s">
        <v>359</v>
      </c>
      <c r="C99" t="s">
        <v>337</v>
      </c>
      <c r="D99">
        <v>2891434669</v>
      </c>
      <c r="E99">
        <v>39028296018.695099</v>
      </c>
      <c r="F99">
        <f>SUM($D$99+$E$99)</f>
        <v>41919730687.695099</v>
      </c>
      <c r="G99">
        <v>2891434669</v>
      </c>
      <c r="H99">
        <v>39028296018.695099</v>
      </c>
      <c r="I99">
        <f t="shared" ref="I99" si="326">SUM($D$99+$E$99)</f>
        <v>41919730687.695099</v>
      </c>
      <c r="J99">
        <v>2891434669</v>
      </c>
      <c r="K99">
        <v>39028296018.695099</v>
      </c>
      <c r="L99">
        <f t="shared" ref="L99" si="327">SUM($D$99+$E$99)</f>
        <v>41919730687.695099</v>
      </c>
      <c r="M99">
        <v>2891434669</v>
      </c>
      <c r="N99">
        <v>39028296018.695099</v>
      </c>
      <c r="O99">
        <f t="shared" ref="O99" si="328">SUM($D$99+$E$99)</f>
        <v>41919730687.695099</v>
      </c>
      <c r="P99">
        <v>2891434669</v>
      </c>
      <c r="Q99">
        <v>39028296018.695099</v>
      </c>
      <c r="R99">
        <f t="shared" ref="R99" si="329">SUM($D$99+$E$99)</f>
        <v>41919730687.695099</v>
      </c>
      <c r="S99">
        <v>2891434669</v>
      </c>
      <c r="T99">
        <v>39028296018.695099</v>
      </c>
      <c r="U99">
        <f t="shared" ref="U99" si="330">SUM($D$99+$E$99)</f>
        <v>41919730687.695099</v>
      </c>
      <c r="V99">
        <v>2891434669</v>
      </c>
      <c r="W99">
        <v>39028296018.695099</v>
      </c>
      <c r="X99">
        <f t="shared" ref="X99" si="331">SUM($D$99+$E$99)</f>
        <v>41919730687.695099</v>
      </c>
      <c r="Y99">
        <v>2891434669</v>
      </c>
      <c r="Z99">
        <v>39028296018.695099</v>
      </c>
      <c r="AA99">
        <f t="shared" ref="AA99" si="332">SUM($D$99+$E$99)</f>
        <v>41919730687.695099</v>
      </c>
      <c r="AB99">
        <v>2891434669</v>
      </c>
      <c r="AC99">
        <v>39028296018.695099</v>
      </c>
      <c r="AD99">
        <f t="shared" ref="AD99" si="333">SUM($D$99+$E$99)</f>
        <v>41919730687.695099</v>
      </c>
      <c r="AE99">
        <v>2891434669</v>
      </c>
      <c r="AF99">
        <v>39028296018.695099</v>
      </c>
      <c r="AG99">
        <f t="shared" ref="AG99" si="334">SUM($D$99+$E$99)</f>
        <v>41919730687.695099</v>
      </c>
      <c r="AH99">
        <v>2891434669</v>
      </c>
      <c r="AI99">
        <v>39028296018.695099</v>
      </c>
      <c r="AJ99">
        <f t="shared" ref="AJ99" si="335">SUM($D$99+$E$99)</f>
        <v>41919730687.695099</v>
      </c>
      <c r="AK99">
        <v>2891434669</v>
      </c>
      <c r="AL99">
        <v>39028296018.695099</v>
      </c>
      <c r="AM99">
        <f t="shared" ref="AM99" si="336">SUM($D$99+$E$99)</f>
        <v>41919730687.695099</v>
      </c>
      <c r="AO99" s="15"/>
    </row>
    <row r="100" spans="2:42">
      <c r="B100" s="2" t="s">
        <v>360</v>
      </c>
      <c r="C100" t="s">
        <v>338</v>
      </c>
      <c r="D100">
        <v>63041373</v>
      </c>
      <c r="E100">
        <v>49474869.530400001</v>
      </c>
      <c r="F100">
        <f>SUM($D$100+$E$100)</f>
        <v>112516242.53040001</v>
      </c>
      <c r="G100">
        <v>63041373</v>
      </c>
      <c r="H100">
        <v>49474869.530400001</v>
      </c>
      <c r="I100">
        <f t="shared" ref="I100" si="337">SUM($D$100+$E$100)</f>
        <v>112516242.53040001</v>
      </c>
      <c r="J100">
        <v>63041373</v>
      </c>
      <c r="K100">
        <v>49474869.530400001</v>
      </c>
      <c r="L100">
        <f t="shared" ref="L100" si="338">SUM($D$100+$E$100)</f>
        <v>112516242.53040001</v>
      </c>
      <c r="M100">
        <v>63041373</v>
      </c>
      <c r="N100">
        <v>49474869.530400001</v>
      </c>
      <c r="O100">
        <f t="shared" ref="O100" si="339">SUM($D$100+$E$100)</f>
        <v>112516242.53040001</v>
      </c>
      <c r="P100">
        <v>63041373</v>
      </c>
      <c r="Q100">
        <v>49474869.530400001</v>
      </c>
      <c r="R100">
        <f t="shared" ref="R100" si="340">SUM($D$100+$E$100)</f>
        <v>112516242.53040001</v>
      </c>
      <c r="S100">
        <v>63041373</v>
      </c>
      <c r="T100">
        <v>49474869.530400001</v>
      </c>
      <c r="U100">
        <f t="shared" ref="U100" si="341">SUM($D$100+$E$100)</f>
        <v>112516242.53040001</v>
      </c>
      <c r="V100">
        <v>63041373</v>
      </c>
      <c r="W100">
        <v>49474869.530400001</v>
      </c>
      <c r="X100">
        <f t="shared" ref="X100" si="342">SUM($D$100+$E$100)</f>
        <v>112516242.53040001</v>
      </c>
      <c r="Y100">
        <v>63041373</v>
      </c>
      <c r="Z100">
        <v>49474869.530400001</v>
      </c>
      <c r="AA100">
        <f t="shared" ref="AA100" si="343">SUM($D$100+$E$100)</f>
        <v>112516242.53040001</v>
      </c>
      <c r="AB100">
        <v>63041373</v>
      </c>
      <c r="AC100">
        <v>49474869.530400001</v>
      </c>
      <c r="AD100">
        <f t="shared" ref="AD100" si="344">SUM($D$100+$E$100)</f>
        <v>112516242.53040001</v>
      </c>
      <c r="AE100">
        <v>63041373</v>
      </c>
      <c r="AF100">
        <v>49474869.530400001</v>
      </c>
      <c r="AG100">
        <f t="shared" ref="AG100" si="345">SUM($D$100+$E$100)</f>
        <v>112516242.53040001</v>
      </c>
      <c r="AH100">
        <v>63041373</v>
      </c>
      <c r="AI100">
        <v>49474869.530400001</v>
      </c>
      <c r="AJ100">
        <f t="shared" ref="AJ100" si="346">SUM($D$100+$E$100)</f>
        <v>112516242.53040001</v>
      </c>
      <c r="AK100">
        <v>63041373</v>
      </c>
      <c r="AL100">
        <v>49474869.530400001</v>
      </c>
      <c r="AM100">
        <f t="shared" ref="AM100" si="347">SUM($D$100+$E$100)</f>
        <v>112516242.53040001</v>
      </c>
      <c r="AO100" s="15"/>
    </row>
    <row r="101" spans="2:42">
      <c r="B101" t="s">
        <v>361</v>
      </c>
      <c r="C101" t="s">
        <v>340</v>
      </c>
      <c r="D101">
        <v>381623179</v>
      </c>
      <c r="E101">
        <v>1348122042.1354001</v>
      </c>
      <c r="F101">
        <f>SUM($D$101+$E$101)</f>
        <v>1729745221.1354001</v>
      </c>
      <c r="G101">
        <v>381623179</v>
      </c>
      <c r="H101">
        <v>1348122042.1354001</v>
      </c>
      <c r="I101">
        <f t="shared" ref="I101" si="348">SUM($D$101+$E$101)</f>
        <v>1729745221.1354001</v>
      </c>
      <c r="J101">
        <v>381623179</v>
      </c>
      <c r="K101">
        <v>1348122042.1354001</v>
      </c>
      <c r="L101">
        <f t="shared" ref="L101" si="349">SUM($D$101+$E$101)</f>
        <v>1729745221.1354001</v>
      </c>
      <c r="M101">
        <v>381623179</v>
      </c>
      <c r="N101">
        <v>1348122042.1354001</v>
      </c>
      <c r="O101">
        <f t="shared" ref="O101" si="350">SUM($D$101+$E$101)</f>
        <v>1729745221.1354001</v>
      </c>
      <c r="P101">
        <v>381623179</v>
      </c>
      <c r="Q101">
        <v>1348122042.1354001</v>
      </c>
      <c r="R101">
        <f t="shared" ref="R101" si="351">SUM($D$101+$E$101)</f>
        <v>1729745221.1354001</v>
      </c>
      <c r="S101">
        <v>381623179</v>
      </c>
      <c r="T101">
        <v>1348122042.1354001</v>
      </c>
      <c r="U101">
        <f t="shared" ref="U101" si="352">SUM($D$101+$E$101)</f>
        <v>1729745221.1354001</v>
      </c>
      <c r="V101">
        <v>381623179</v>
      </c>
      <c r="W101">
        <v>1348122042.1354001</v>
      </c>
      <c r="X101">
        <f t="shared" ref="X101" si="353">SUM($D$101+$E$101)</f>
        <v>1729745221.1354001</v>
      </c>
      <c r="Y101">
        <v>381623179</v>
      </c>
      <c r="Z101">
        <v>1348122042.1354001</v>
      </c>
      <c r="AA101">
        <f t="shared" ref="AA101" si="354">SUM($D$101+$E$101)</f>
        <v>1729745221.1354001</v>
      </c>
      <c r="AB101">
        <v>381623179</v>
      </c>
      <c r="AC101">
        <v>1348122042.1354001</v>
      </c>
      <c r="AD101">
        <f t="shared" ref="AD101" si="355">SUM($D$101+$E$101)</f>
        <v>1729745221.1354001</v>
      </c>
      <c r="AE101">
        <v>381623179</v>
      </c>
      <c r="AF101">
        <v>1348122042.1354001</v>
      </c>
      <c r="AG101">
        <f t="shared" ref="AG101" si="356">SUM($D$101+$E$101)</f>
        <v>1729745221.1354001</v>
      </c>
      <c r="AH101">
        <v>381623179</v>
      </c>
      <c r="AI101">
        <v>1348122042.1354001</v>
      </c>
      <c r="AJ101">
        <f t="shared" ref="AJ101" si="357">SUM($D$101+$E$101)</f>
        <v>1729745221.1354001</v>
      </c>
      <c r="AK101">
        <v>381623179</v>
      </c>
      <c r="AL101">
        <v>1348122042.1354001</v>
      </c>
      <c r="AM101">
        <f t="shared" ref="AM101" si="358">SUM($D$101+$E$101)</f>
        <v>1729745221.1354001</v>
      </c>
      <c r="AO101" s="15"/>
    </row>
    <row r="102" spans="2:42">
      <c r="B102" s="2" t="s">
        <v>362</v>
      </c>
      <c r="C102" s="2" t="s">
        <v>342</v>
      </c>
      <c r="D102">
        <v>64152987</v>
      </c>
      <c r="E102">
        <v>85823866.008599997</v>
      </c>
      <c r="F102">
        <f>SUM($D$102+$E$102)</f>
        <v>149976853.0086</v>
      </c>
      <c r="G102">
        <v>64152987</v>
      </c>
      <c r="H102">
        <v>85823866.008599997</v>
      </c>
      <c r="I102">
        <f t="shared" ref="I102" si="359">SUM($D$102+$E$102)</f>
        <v>149976853.0086</v>
      </c>
      <c r="J102">
        <v>64152987</v>
      </c>
      <c r="K102">
        <v>85823866.008599997</v>
      </c>
      <c r="L102">
        <f t="shared" ref="L102" si="360">SUM($D$102+$E$102)</f>
        <v>149976853.0086</v>
      </c>
      <c r="M102">
        <v>64152987</v>
      </c>
      <c r="N102">
        <v>85823866.008599997</v>
      </c>
      <c r="O102">
        <f t="shared" ref="O102" si="361">SUM($D$102+$E$102)</f>
        <v>149976853.0086</v>
      </c>
      <c r="P102">
        <v>64152987</v>
      </c>
      <c r="Q102">
        <v>85823866.008599997</v>
      </c>
      <c r="R102">
        <f t="shared" ref="R102" si="362">SUM($D$102+$E$102)</f>
        <v>149976853.0086</v>
      </c>
      <c r="S102">
        <v>64152987</v>
      </c>
      <c r="T102">
        <v>85823866.008599997</v>
      </c>
      <c r="U102">
        <f t="shared" ref="U102" si="363">SUM($D$102+$E$102)</f>
        <v>149976853.0086</v>
      </c>
      <c r="V102">
        <v>64152987</v>
      </c>
      <c r="W102">
        <v>85823866.008599997</v>
      </c>
      <c r="X102">
        <f t="shared" ref="X102" si="364">SUM($D$102+$E$102)</f>
        <v>149976853.0086</v>
      </c>
      <c r="Y102">
        <v>64152987</v>
      </c>
      <c r="Z102">
        <v>85823866.008599997</v>
      </c>
      <c r="AA102">
        <f t="shared" ref="AA102" si="365">SUM($D$102+$E$102)</f>
        <v>149976853.0086</v>
      </c>
      <c r="AB102">
        <v>64152987</v>
      </c>
      <c r="AC102">
        <v>85823866.008599997</v>
      </c>
      <c r="AD102">
        <f t="shared" ref="AD102" si="366">SUM($D$102+$E$102)</f>
        <v>149976853.0086</v>
      </c>
      <c r="AE102">
        <v>64152987</v>
      </c>
      <c r="AF102">
        <v>85823866.008599997</v>
      </c>
      <c r="AG102">
        <f t="shared" ref="AG102" si="367">SUM($D$102+$E$102)</f>
        <v>149976853.0086</v>
      </c>
      <c r="AH102">
        <v>64152987</v>
      </c>
      <c r="AI102">
        <v>85823866.008599997</v>
      </c>
      <c r="AJ102">
        <f t="shared" ref="AJ102" si="368">SUM($D$102+$E$102)</f>
        <v>149976853.0086</v>
      </c>
      <c r="AK102">
        <v>64152987</v>
      </c>
      <c r="AL102">
        <v>85823866.008599997</v>
      </c>
      <c r="AM102">
        <f t="shared" ref="AM102" si="369">SUM($D$102+$E$102)</f>
        <v>149976853.0086</v>
      </c>
      <c r="AO102" s="15"/>
    </row>
    <row r="103" spans="2:42">
      <c r="B103" t="s">
        <v>363</v>
      </c>
      <c r="C103" t="s">
        <v>345</v>
      </c>
      <c r="D103">
        <v>290521311</v>
      </c>
      <c r="E103">
        <v>1084341741.1763999</v>
      </c>
      <c r="F103">
        <f>SUM($D$103+$E$103)</f>
        <v>1374863052.1763999</v>
      </c>
      <c r="G103">
        <v>290521311</v>
      </c>
      <c r="H103">
        <v>1084341741.1763999</v>
      </c>
      <c r="I103">
        <f t="shared" ref="I103" si="370">SUM($D$103+$E$103)</f>
        <v>1374863052.1763999</v>
      </c>
      <c r="J103">
        <v>290521311</v>
      </c>
      <c r="K103">
        <v>1084341741.1763999</v>
      </c>
      <c r="L103">
        <f t="shared" ref="L103" si="371">SUM($D$103+$E$103)</f>
        <v>1374863052.1763999</v>
      </c>
      <c r="M103">
        <v>290521311</v>
      </c>
      <c r="N103">
        <v>1084341741.1763999</v>
      </c>
      <c r="O103">
        <f t="shared" ref="O103" si="372">SUM($D$103+$E$103)</f>
        <v>1374863052.1763999</v>
      </c>
      <c r="P103">
        <v>290521311</v>
      </c>
      <c r="Q103">
        <v>1084341741.1763999</v>
      </c>
      <c r="R103">
        <f t="shared" ref="R103" si="373">SUM($D$103+$E$103)</f>
        <v>1374863052.1763999</v>
      </c>
      <c r="S103">
        <v>290521311</v>
      </c>
      <c r="T103">
        <v>1084341741.1763999</v>
      </c>
      <c r="U103">
        <f t="shared" ref="U103" si="374">SUM($D$103+$E$103)</f>
        <v>1374863052.1763999</v>
      </c>
      <c r="V103">
        <v>290521311</v>
      </c>
      <c r="W103">
        <v>1084341741.1763999</v>
      </c>
      <c r="X103">
        <f t="shared" ref="X103" si="375">SUM($D$103+$E$103)</f>
        <v>1374863052.1763999</v>
      </c>
      <c r="Y103">
        <v>290521311</v>
      </c>
      <c r="Z103">
        <v>1084341741.1763999</v>
      </c>
      <c r="AA103">
        <f t="shared" ref="AA103" si="376">SUM($D$103+$E$103)</f>
        <v>1374863052.1763999</v>
      </c>
      <c r="AB103">
        <v>290521311</v>
      </c>
      <c r="AC103">
        <v>1084341741.1763999</v>
      </c>
      <c r="AD103">
        <f t="shared" ref="AD103" si="377">SUM($D$103+$E$103)</f>
        <v>1374863052.1763999</v>
      </c>
      <c r="AE103">
        <v>290521311</v>
      </c>
      <c r="AF103">
        <v>1084341741.1763999</v>
      </c>
      <c r="AG103">
        <f t="shared" ref="AG103" si="378">SUM($D$103+$E$103)</f>
        <v>1374863052.1763999</v>
      </c>
      <c r="AH103">
        <v>290521311</v>
      </c>
      <c r="AI103">
        <v>1084341741.1763999</v>
      </c>
      <c r="AJ103">
        <f t="shared" ref="AJ103" si="379">SUM($D$103+$E$103)</f>
        <v>1374863052.1763999</v>
      </c>
      <c r="AK103">
        <v>290521311</v>
      </c>
      <c r="AL103">
        <v>1084341741.1763999</v>
      </c>
      <c r="AM103">
        <f t="shared" ref="AM103" si="380">SUM($D$103+$E$103)</f>
        <v>1374863052.1763999</v>
      </c>
      <c r="AO103" s="15"/>
    </row>
    <row r="104" spans="2:42">
      <c r="B104" s="2" t="s">
        <v>364</v>
      </c>
      <c r="C104" t="s">
        <v>346</v>
      </c>
      <c r="D104">
        <v>791110053</v>
      </c>
      <c r="E104">
        <v>6037831035.5012999</v>
      </c>
      <c r="F104">
        <f>SUM($D$104+$E$104)</f>
        <v>6828941088.5012999</v>
      </c>
      <c r="G104">
        <v>791110053</v>
      </c>
      <c r="H104">
        <v>6037831035.5012999</v>
      </c>
      <c r="I104">
        <f t="shared" ref="I104" si="381">SUM($D$104+$E$104)</f>
        <v>6828941088.5012999</v>
      </c>
      <c r="J104">
        <v>791110053</v>
      </c>
      <c r="K104">
        <v>6037831035.5012999</v>
      </c>
      <c r="L104">
        <f t="shared" ref="L104" si="382">SUM($D$104+$E$104)</f>
        <v>6828941088.5012999</v>
      </c>
      <c r="M104">
        <v>791110053</v>
      </c>
      <c r="N104">
        <v>6037831035.5012999</v>
      </c>
      <c r="O104">
        <f t="shared" ref="O104" si="383">SUM($D$104+$E$104)</f>
        <v>6828941088.5012999</v>
      </c>
      <c r="P104">
        <v>791110053</v>
      </c>
      <c r="Q104">
        <v>6037831035.5012999</v>
      </c>
      <c r="R104">
        <f t="shared" ref="R104" si="384">SUM($D$104+$E$104)</f>
        <v>6828941088.5012999</v>
      </c>
      <c r="S104">
        <v>791110053</v>
      </c>
      <c r="T104">
        <v>6037831035.5012999</v>
      </c>
      <c r="U104">
        <f t="shared" ref="U104" si="385">SUM($D$104+$E$104)</f>
        <v>6828941088.5012999</v>
      </c>
      <c r="V104">
        <v>791110053</v>
      </c>
      <c r="W104">
        <v>6037831035.5012999</v>
      </c>
      <c r="X104">
        <f t="shared" ref="X104" si="386">SUM($D$104+$E$104)</f>
        <v>6828941088.5012999</v>
      </c>
      <c r="Y104">
        <v>791110053</v>
      </c>
      <c r="Z104">
        <v>6037831035.5012999</v>
      </c>
      <c r="AA104">
        <f t="shared" ref="AA104" si="387">SUM($D$104+$E$104)</f>
        <v>6828941088.5012999</v>
      </c>
      <c r="AB104">
        <v>791110053</v>
      </c>
      <c r="AC104">
        <v>6037831035.5012999</v>
      </c>
      <c r="AD104">
        <f t="shared" ref="AD104" si="388">SUM($D$104+$E$104)</f>
        <v>6828941088.5012999</v>
      </c>
      <c r="AE104">
        <v>791110053</v>
      </c>
      <c r="AF104">
        <v>6037831035.5012999</v>
      </c>
      <c r="AG104">
        <f t="shared" ref="AG104" si="389">SUM($D$104+$E$104)</f>
        <v>6828941088.5012999</v>
      </c>
      <c r="AH104">
        <v>791110053</v>
      </c>
      <c r="AI104">
        <v>6037831035.5012999</v>
      </c>
      <c r="AJ104">
        <f t="shared" ref="AJ104" si="390">SUM($D$104+$E$104)</f>
        <v>6828941088.5012999</v>
      </c>
      <c r="AK104">
        <v>791110053</v>
      </c>
      <c r="AL104">
        <v>6037831035.5012999</v>
      </c>
      <c r="AM104">
        <f t="shared" ref="AM104" si="391">SUM($D$104+$E$104)</f>
        <v>6828941088.5012999</v>
      </c>
      <c r="AO104" s="15"/>
    </row>
    <row r="105" spans="2:42">
      <c r="B105" t="s">
        <v>365</v>
      </c>
      <c r="C105" t="s">
        <v>348</v>
      </c>
      <c r="D105">
        <v>1565326006</v>
      </c>
      <c r="E105">
        <v>17896685291.799198</v>
      </c>
      <c r="F105">
        <f>SUM($D$105+$E$105)</f>
        <v>19462011297.799198</v>
      </c>
      <c r="G105">
        <v>1565326006</v>
      </c>
      <c r="H105">
        <v>17896685291.799198</v>
      </c>
      <c r="I105">
        <f t="shared" ref="I105" si="392">SUM($D$105+$E$105)</f>
        <v>19462011297.799198</v>
      </c>
      <c r="J105">
        <v>1565326006</v>
      </c>
      <c r="K105">
        <v>17896685291.799198</v>
      </c>
      <c r="L105">
        <f t="shared" ref="L105" si="393">SUM($D$105+$E$105)</f>
        <v>19462011297.799198</v>
      </c>
      <c r="M105">
        <v>1565326006</v>
      </c>
      <c r="N105">
        <v>17896685291.799198</v>
      </c>
      <c r="O105">
        <f t="shared" ref="O105" si="394">SUM($D$105+$E$105)</f>
        <v>19462011297.799198</v>
      </c>
      <c r="P105">
        <v>1565326006</v>
      </c>
      <c r="Q105">
        <v>17896685291.799198</v>
      </c>
      <c r="R105">
        <f t="shared" ref="R105" si="395">SUM($D$105+$E$105)</f>
        <v>19462011297.799198</v>
      </c>
      <c r="S105">
        <v>1565326006</v>
      </c>
      <c r="T105">
        <v>17896685291.799198</v>
      </c>
      <c r="U105">
        <f t="shared" ref="U105" si="396">SUM($D$105+$E$105)</f>
        <v>19462011297.799198</v>
      </c>
      <c r="V105">
        <v>1565326006</v>
      </c>
      <c r="W105">
        <v>17896685291.799198</v>
      </c>
      <c r="X105">
        <f t="shared" ref="X105" si="397">SUM($D$105+$E$105)</f>
        <v>19462011297.799198</v>
      </c>
      <c r="Y105">
        <v>1565326006</v>
      </c>
      <c r="Z105">
        <v>17896685291.799198</v>
      </c>
      <c r="AA105">
        <f t="shared" ref="AA105" si="398">SUM($D$105+$E$105)</f>
        <v>19462011297.799198</v>
      </c>
      <c r="AB105">
        <v>1565326006</v>
      </c>
      <c r="AC105">
        <v>17896685291.799198</v>
      </c>
      <c r="AD105">
        <f t="shared" ref="AD105" si="399">SUM($D$105+$E$105)</f>
        <v>19462011297.799198</v>
      </c>
      <c r="AE105">
        <v>1565326006</v>
      </c>
      <c r="AF105">
        <v>17896685291.799198</v>
      </c>
      <c r="AG105">
        <f t="shared" ref="AG105" si="400">SUM($D$105+$E$105)</f>
        <v>19462011297.799198</v>
      </c>
      <c r="AH105">
        <v>1565326006</v>
      </c>
      <c r="AI105">
        <v>17896685291.799198</v>
      </c>
      <c r="AJ105">
        <f t="shared" ref="AJ105" si="401">SUM($D$105+$E$105)</f>
        <v>19462011297.799198</v>
      </c>
      <c r="AK105">
        <v>1565326006</v>
      </c>
      <c r="AL105">
        <v>17896685291.799198</v>
      </c>
      <c r="AM105">
        <f t="shared" ref="AM105" si="402">SUM($D$105+$E$105)</f>
        <v>19462011297.799198</v>
      </c>
      <c r="AO105" s="15"/>
    </row>
    <row r="106" spans="2:42">
      <c r="B106" s="2" t="s">
        <v>366</v>
      </c>
      <c r="C106" t="s">
        <v>351</v>
      </c>
      <c r="D106">
        <v>718442898</v>
      </c>
      <c r="E106">
        <v>5372156769.7950001</v>
      </c>
      <c r="F106">
        <f>SUM($D$106+$E$106)</f>
        <v>6090599667.7950001</v>
      </c>
      <c r="G106">
        <v>718442898</v>
      </c>
      <c r="H106">
        <v>5372156769.7950001</v>
      </c>
      <c r="I106">
        <f t="shared" ref="I106" si="403">SUM($D$106+$E$106)</f>
        <v>6090599667.7950001</v>
      </c>
      <c r="J106">
        <v>718442898</v>
      </c>
      <c r="K106">
        <v>5372156769.7950001</v>
      </c>
      <c r="L106">
        <f t="shared" ref="L106" si="404">SUM($D$106+$E$106)</f>
        <v>6090599667.7950001</v>
      </c>
      <c r="M106">
        <v>718442898</v>
      </c>
      <c r="N106">
        <v>5372156769.7950001</v>
      </c>
      <c r="O106">
        <f t="shared" ref="O106" si="405">SUM($D$106+$E$106)</f>
        <v>6090599667.7950001</v>
      </c>
      <c r="P106">
        <v>718442898</v>
      </c>
      <c r="Q106">
        <v>5372156769.7950001</v>
      </c>
      <c r="R106">
        <f t="shared" ref="R106" si="406">SUM($D$106+$E$106)</f>
        <v>6090599667.7950001</v>
      </c>
      <c r="S106">
        <v>718442898</v>
      </c>
      <c r="T106">
        <v>5372156769.7950001</v>
      </c>
      <c r="U106">
        <f t="shared" ref="U106" si="407">SUM($D$106+$E$106)</f>
        <v>6090599667.7950001</v>
      </c>
      <c r="V106">
        <v>718442898</v>
      </c>
      <c r="W106">
        <v>5372156769.7950001</v>
      </c>
      <c r="X106">
        <f t="shared" ref="X106" si="408">SUM($D$106+$E$106)</f>
        <v>6090599667.7950001</v>
      </c>
      <c r="Y106">
        <v>718442898</v>
      </c>
      <c r="Z106">
        <v>5372156769.7950001</v>
      </c>
      <c r="AA106">
        <f t="shared" ref="AA106" si="409">SUM($D$106+$E$106)</f>
        <v>6090599667.7950001</v>
      </c>
      <c r="AB106">
        <v>718442898</v>
      </c>
      <c r="AC106">
        <v>5372156769.7950001</v>
      </c>
      <c r="AD106">
        <f t="shared" ref="AD106" si="410">SUM($D$106+$E$106)</f>
        <v>6090599667.7950001</v>
      </c>
      <c r="AE106">
        <v>718442898</v>
      </c>
      <c r="AF106">
        <v>5372156769.7950001</v>
      </c>
      <c r="AG106">
        <f t="shared" ref="AG106" si="411">SUM($D$106+$E$106)</f>
        <v>6090599667.7950001</v>
      </c>
      <c r="AH106">
        <v>718442898</v>
      </c>
      <c r="AI106">
        <v>5372156769.7950001</v>
      </c>
      <c r="AJ106">
        <f t="shared" ref="AJ106" si="412">SUM($D$106+$E$106)</f>
        <v>6090599667.7950001</v>
      </c>
      <c r="AK106">
        <v>718442898</v>
      </c>
      <c r="AL106">
        <v>5372156769.7950001</v>
      </c>
      <c r="AM106">
        <f t="shared" ref="AM106" si="413">SUM($D$106+$E$106)</f>
        <v>6090599667.7950001</v>
      </c>
      <c r="AO106" s="15"/>
    </row>
    <row r="107" spans="2:42">
      <c r="B107" t="s">
        <v>371</v>
      </c>
      <c r="C107" s="2" t="s">
        <v>352</v>
      </c>
      <c r="D107">
        <v>313693664</v>
      </c>
      <c r="E107">
        <v>1232471036.4895999</v>
      </c>
      <c r="F107">
        <f>SUM($D$107+$E$107)</f>
        <v>1546164700.4895999</v>
      </c>
      <c r="G107">
        <v>313693664</v>
      </c>
      <c r="H107">
        <v>1232471036.4895999</v>
      </c>
      <c r="I107">
        <f t="shared" ref="I107" si="414">SUM($D$107+$E$107)</f>
        <v>1546164700.4895999</v>
      </c>
      <c r="J107">
        <v>313693664</v>
      </c>
      <c r="K107">
        <v>1232471036.4895999</v>
      </c>
      <c r="L107">
        <f t="shared" ref="L107" si="415">SUM($D$107+$E$107)</f>
        <v>1546164700.4895999</v>
      </c>
      <c r="M107">
        <v>313693664</v>
      </c>
      <c r="N107">
        <v>1232471036.4895999</v>
      </c>
      <c r="O107">
        <f t="shared" ref="O107" si="416">SUM($D$107+$E$107)</f>
        <v>1546164700.4895999</v>
      </c>
      <c r="P107">
        <v>313693664</v>
      </c>
      <c r="Q107">
        <v>1232471036.4895999</v>
      </c>
      <c r="R107">
        <f t="shared" ref="R107" si="417">SUM($D$107+$E$107)</f>
        <v>1546164700.4895999</v>
      </c>
      <c r="S107">
        <v>313693664</v>
      </c>
      <c r="T107">
        <v>1232471036.4895999</v>
      </c>
      <c r="U107">
        <f t="shared" ref="U107" si="418">SUM($D$107+$E$107)</f>
        <v>1546164700.4895999</v>
      </c>
      <c r="V107">
        <v>313693664</v>
      </c>
      <c r="W107">
        <v>1232471036.4895999</v>
      </c>
      <c r="X107">
        <f t="shared" ref="X107" si="419">SUM($D$107+$E$107)</f>
        <v>1546164700.4895999</v>
      </c>
      <c r="Y107">
        <v>313693664</v>
      </c>
      <c r="Z107">
        <v>1232471036.4895999</v>
      </c>
      <c r="AA107">
        <f t="shared" ref="AA107" si="420">SUM($D$107+$E$107)</f>
        <v>1546164700.4895999</v>
      </c>
      <c r="AB107">
        <v>313693664</v>
      </c>
      <c r="AC107">
        <v>1232471036.4895999</v>
      </c>
      <c r="AD107">
        <f t="shared" ref="AD107" si="421">SUM($D$107+$E$107)</f>
        <v>1546164700.4895999</v>
      </c>
      <c r="AE107">
        <v>313693664</v>
      </c>
      <c r="AF107">
        <v>1232471036.4895999</v>
      </c>
      <c r="AG107">
        <f t="shared" ref="AG107" si="422">SUM($D$107+$E$107)</f>
        <v>1546164700.4895999</v>
      </c>
      <c r="AH107">
        <v>313693664</v>
      </c>
      <c r="AI107">
        <v>1232471036.4895999</v>
      </c>
      <c r="AJ107">
        <f t="shared" ref="AJ107" si="423">SUM($D$107+$E$107)</f>
        <v>1546164700.4895999</v>
      </c>
      <c r="AK107">
        <v>313693664</v>
      </c>
      <c r="AL107">
        <v>1232471036.4895999</v>
      </c>
      <c r="AM107">
        <f t="shared" ref="AM107" si="424">SUM($D$107+$E$107)</f>
        <v>1546164700.4895999</v>
      </c>
      <c r="AO107" s="15"/>
    </row>
    <row r="108" spans="2:42">
      <c r="B108" t="s">
        <v>367</v>
      </c>
      <c r="C108" t="s">
        <v>354</v>
      </c>
      <c r="D108">
        <v>186925339</v>
      </c>
      <c r="E108">
        <v>379664056.04290003</v>
      </c>
      <c r="F108">
        <f>SUM($D$108+$E$108)</f>
        <v>566589395.04290009</v>
      </c>
      <c r="G108">
        <v>186925339</v>
      </c>
      <c r="H108">
        <v>379664056.04290003</v>
      </c>
      <c r="I108">
        <f t="shared" ref="I108" si="425">SUM($D$108+$E$108)</f>
        <v>566589395.04290009</v>
      </c>
      <c r="J108">
        <v>186925339</v>
      </c>
      <c r="K108">
        <v>379664056.04290003</v>
      </c>
      <c r="L108">
        <f t="shared" ref="L108" si="426">SUM($D$108+$E$108)</f>
        <v>566589395.04290009</v>
      </c>
      <c r="M108">
        <v>186925339</v>
      </c>
      <c r="N108">
        <v>379664056.04290003</v>
      </c>
      <c r="O108">
        <f t="shared" ref="O108" si="427">SUM($D$108+$E$108)</f>
        <v>566589395.04290009</v>
      </c>
      <c r="P108">
        <v>186925339</v>
      </c>
      <c r="Q108">
        <v>379664056.04290003</v>
      </c>
      <c r="R108">
        <f t="shared" ref="R108" si="428">SUM($D$108+$E$108)</f>
        <v>566589395.04290009</v>
      </c>
      <c r="S108">
        <v>186925339</v>
      </c>
      <c r="T108">
        <v>379664056.04290003</v>
      </c>
      <c r="U108">
        <f t="shared" ref="U108" si="429">SUM($D$108+$E$108)</f>
        <v>566589395.04290009</v>
      </c>
      <c r="V108">
        <v>186925339</v>
      </c>
      <c r="W108">
        <v>379664056.04290003</v>
      </c>
      <c r="X108">
        <f t="shared" ref="X108" si="430">SUM($D$108+$E$108)</f>
        <v>566589395.04290009</v>
      </c>
      <c r="Y108">
        <v>186925339</v>
      </c>
      <c r="Z108">
        <v>379664056.04290003</v>
      </c>
      <c r="AA108">
        <f t="shared" ref="AA108" si="431">SUM($D$108+$E$108)</f>
        <v>566589395.04290009</v>
      </c>
      <c r="AB108">
        <v>186925339</v>
      </c>
      <c r="AC108">
        <v>379664056.04290003</v>
      </c>
      <c r="AD108">
        <f t="shared" ref="AD108" si="432">SUM($D$108+$E$108)</f>
        <v>566589395.04290009</v>
      </c>
      <c r="AE108">
        <v>186925339</v>
      </c>
      <c r="AF108">
        <v>379664056.04290003</v>
      </c>
      <c r="AG108">
        <f t="shared" ref="AG108" si="433">SUM($D$108+$E$108)</f>
        <v>566589395.04290009</v>
      </c>
      <c r="AH108">
        <v>186925339</v>
      </c>
      <c r="AI108">
        <v>379664056.04290003</v>
      </c>
      <c r="AJ108">
        <f t="shared" ref="AJ108" si="434">SUM($D$108+$E$108)</f>
        <v>566589395.04290009</v>
      </c>
      <c r="AK108">
        <v>186925339</v>
      </c>
      <c r="AL108">
        <v>379664056.04290003</v>
      </c>
      <c r="AM108">
        <f t="shared" ref="AM108" si="435">SUM($D$108+$E$108)</f>
        <v>566589395.04290009</v>
      </c>
      <c r="AO108" s="15"/>
    </row>
    <row r="109" spans="2:42">
      <c r="B109" s="2" t="s">
        <v>368</v>
      </c>
      <c r="C109" t="s">
        <v>356</v>
      </c>
      <c r="D109">
        <v>611238872</v>
      </c>
      <c r="E109">
        <v>3116707008.3280001</v>
      </c>
      <c r="F109">
        <f>SUM($D$109+$E$109)</f>
        <v>3727945880.3280001</v>
      </c>
      <c r="G109">
        <v>611238872</v>
      </c>
      <c r="H109">
        <v>3116707008.3280001</v>
      </c>
      <c r="I109">
        <f t="shared" ref="I109" si="436">SUM($D$109+$E$109)</f>
        <v>3727945880.3280001</v>
      </c>
      <c r="J109">
        <v>611238872</v>
      </c>
      <c r="K109">
        <v>3116707008.3280001</v>
      </c>
      <c r="L109">
        <f t="shared" ref="L109" si="437">SUM($D$109+$E$109)</f>
        <v>3727945880.3280001</v>
      </c>
      <c r="M109">
        <v>611238872</v>
      </c>
      <c r="N109">
        <v>3116707008.3280001</v>
      </c>
      <c r="O109">
        <f t="shared" ref="O109" si="438">SUM($D$109+$E$109)</f>
        <v>3727945880.3280001</v>
      </c>
      <c r="P109">
        <v>611238872</v>
      </c>
      <c r="Q109">
        <v>3116707008.3280001</v>
      </c>
      <c r="R109">
        <f t="shared" ref="R109" si="439">SUM($D$109+$E$109)</f>
        <v>3727945880.3280001</v>
      </c>
      <c r="S109">
        <v>611238872</v>
      </c>
      <c r="T109">
        <v>3116707008.3280001</v>
      </c>
      <c r="U109">
        <f t="shared" ref="U109" si="440">SUM($D$109+$E$109)</f>
        <v>3727945880.3280001</v>
      </c>
      <c r="V109">
        <v>611238872</v>
      </c>
      <c r="W109">
        <v>3116707008.3280001</v>
      </c>
      <c r="X109">
        <f t="shared" ref="X109" si="441">SUM($D$109+$E$109)</f>
        <v>3727945880.3280001</v>
      </c>
      <c r="Y109">
        <v>611238872</v>
      </c>
      <c r="Z109">
        <v>3116707008.3280001</v>
      </c>
      <c r="AA109">
        <f t="shared" ref="AA109" si="442">SUM($D$109+$E$109)</f>
        <v>3727945880.3280001</v>
      </c>
      <c r="AB109">
        <v>611238872</v>
      </c>
      <c r="AC109">
        <v>3116707008.3280001</v>
      </c>
      <c r="AD109">
        <f t="shared" ref="AD109" si="443">SUM($D$109+$E$109)</f>
        <v>3727945880.3280001</v>
      </c>
      <c r="AE109">
        <v>611238872</v>
      </c>
      <c r="AF109">
        <v>3116707008.3280001</v>
      </c>
      <c r="AG109">
        <f t="shared" ref="AG109" si="444">SUM($D$109+$E$109)</f>
        <v>3727945880.3280001</v>
      </c>
      <c r="AH109">
        <v>611238872</v>
      </c>
      <c r="AI109">
        <v>3116707008.3280001</v>
      </c>
      <c r="AJ109">
        <f t="shared" ref="AJ109" si="445">SUM($D$109+$E$109)</f>
        <v>3727945880.3280001</v>
      </c>
      <c r="AK109">
        <v>611238872</v>
      </c>
      <c r="AL109">
        <v>3116707008.3280001</v>
      </c>
      <c r="AM109">
        <f t="shared" ref="AM109" si="446">SUM($D$109+$E$109)</f>
        <v>3727945880.3280001</v>
      </c>
      <c r="AO109" s="15"/>
    </row>
    <row r="110" spans="2:42">
      <c r="B110" s="2" t="s">
        <v>369</v>
      </c>
      <c r="C110" t="s">
        <v>357</v>
      </c>
      <c r="D110">
        <v>191928227</v>
      </c>
      <c r="E110">
        <v>502928726.03080004</v>
      </c>
      <c r="F110">
        <f>SUM($D$110+$E$110)</f>
        <v>694856953.0308001</v>
      </c>
      <c r="G110">
        <v>191928227</v>
      </c>
      <c r="H110">
        <v>502928726.03080004</v>
      </c>
      <c r="I110">
        <f t="shared" ref="I110" si="447">SUM($D$110+$E$110)</f>
        <v>694856953.0308001</v>
      </c>
      <c r="J110">
        <v>191928227</v>
      </c>
      <c r="K110">
        <v>502928726.03080004</v>
      </c>
      <c r="L110">
        <f t="shared" ref="L110" si="448">SUM($D$110+$E$110)</f>
        <v>694856953.0308001</v>
      </c>
      <c r="M110">
        <v>191928227</v>
      </c>
      <c r="N110">
        <v>502928726.03080004</v>
      </c>
      <c r="O110">
        <f t="shared" ref="O110" si="449">SUM($D$110+$E$110)</f>
        <v>694856953.0308001</v>
      </c>
      <c r="P110">
        <v>191928227</v>
      </c>
      <c r="Q110">
        <v>502928726.03080004</v>
      </c>
      <c r="R110">
        <f t="shared" ref="R110" si="450">SUM($D$110+$E$110)</f>
        <v>694856953.0308001</v>
      </c>
      <c r="S110">
        <v>191928227</v>
      </c>
      <c r="T110">
        <v>502928726.03080004</v>
      </c>
      <c r="U110">
        <f t="shared" ref="U110" si="451">SUM($D$110+$E$110)</f>
        <v>694856953.0308001</v>
      </c>
      <c r="V110">
        <v>191928227</v>
      </c>
      <c r="W110">
        <v>502928726.03080004</v>
      </c>
      <c r="X110">
        <f t="shared" ref="X110" si="452">SUM($D$110+$E$110)</f>
        <v>694856953.0308001</v>
      </c>
      <c r="Y110">
        <v>191928227</v>
      </c>
      <c r="Z110">
        <v>502928726.03080004</v>
      </c>
      <c r="AA110">
        <f t="shared" ref="AA110" si="453">SUM($D$110+$E$110)</f>
        <v>694856953.0308001</v>
      </c>
      <c r="AB110">
        <v>191928227</v>
      </c>
      <c r="AC110">
        <v>502928726.03080004</v>
      </c>
      <c r="AD110">
        <f t="shared" ref="AD110" si="454">SUM($D$110+$E$110)</f>
        <v>694856953.0308001</v>
      </c>
      <c r="AE110">
        <v>191928227</v>
      </c>
      <c r="AF110">
        <v>502928726.03080004</v>
      </c>
      <c r="AG110">
        <f t="shared" ref="AG110" si="455">SUM($D$110+$E$110)</f>
        <v>694856953.0308001</v>
      </c>
      <c r="AH110">
        <v>191928227</v>
      </c>
      <c r="AI110">
        <v>502928726.03080004</v>
      </c>
      <c r="AJ110">
        <f t="shared" ref="AJ110" si="456">SUM($D$110+$E$110)</f>
        <v>694856953.0308001</v>
      </c>
      <c r="AK110">
        <v>191928227</v>
      </c>
      <c r="AL110">
        <v>502928726.03080004</v>
      </c>
      <c r="AM110">
        <f t="shared" ref="AM110" si="457">SUM($D$110+$E$110)</f>
        <v>694856953.0308001</v>
      </c>
      <c r="AO110" s="15"/>
    </row>
    <row r="111" spans="2:42">
      <c r="B111" t="s">
        <v>376</v>
      </c>
      <c r="C111" t="s">
        <v>373</v>
      </c>
      <c r="D111">
        <v>299315347</v>
      </c>
      <c r="E111">
        <v>1052482554.6561</v>
      </c>
      <c r="F111">
        <f>SUM($D$111+$E$111)</f>
        <v>1351797901.6561</v>
      </c>
      <c r="G111">
        <v>299315347</v>
      </c>
      <c r="H111">
        <v>1052482554.6561</v>
      </c>
      <c r="I111">
        <f t="shared" ref="I111" si="458">SUM($D$111+$E$111)</f>
        <v>1351797901.6561</v>
      </c>
      <c r="J111">
        <v>299315347</v>
      </c>
      <c r="K111">
        <v>1052482554.6561</v>
      </c>
      <c r="L111">
        <f t="shared" ref="L111" si="459">SUM($D$111+$E$111)</f>
        <v>1351797901.6561</v>
      </c>
      <c r="M111">
        <v>299315347</v>
      </c>
      <c r="N111">
        <v>1052482554.6561</v>
      </c>
      <c r="O111">
        <f t="shared" ref="O111" si="460">SUM($D$111+$E$111)</f>
        <v>1351797901.6561</v>
      </c>
      <c r="P111">
        <v>299315347</v>
      </c>
      <c r="Q111">
        <v>1052482554.6561</v>
      </c>
      <c r="R111">
        <f t="shared" ref="R111" si="461">SUM($D$111+$E$111)</f>
        <v>1351797901.6561</v>
      </c>
      <c r="S111">
        <v>299315347</v>
      </c>
      <c r="T111">
        <v>1052482554.6561</v>
      </c>
      <c r="U111">
        <f t="shared" ref="U111" si="462">SUM($D$111+$E$111)</f>
        <v>1351797901.6561</v>
      </c>
      <c r="V111">
        <v>299315347</v>
      </c>
      <c r="W111">
        <v>1052482554.6561</v>
      </c>
      <c r="X111">
        <f t="shared" ref="X111" si="463">SUM($D$111+$E$111)</f>
        <v>1351797901.6561</v>
      </c>
      <c r="Y111">
        <v>299315347</v>
      </c>
      <c r="Z111">
        <v>1052482554.6561</v>
      </c>
      <c r="AA111">
        <f t="shared" ref="AA111" si="464">SUM($D$111+$E$111)</f>
        <v>1351797901.6561</v>
      </c>
      <c r="AB111">
        <v>299315347</v>
      </c>
      <c r="AC111">
        <v>1052482554.6561</v>
      </c>
      <c r="AD111">
        <f t="shared" ref="AD111" si="465">SUM($D$111+$E$111)</f>
        <v>1351797901.6561</v>
      </c>
      <c r="AE111">
        <v>299315347</v>
      </c>
      <c r="AF111">
        <v>1052482554.6561</v>
      </c>
      <c r="AG111">
        <f t="shared" ref="AG111" si="466">SUM($D$111+$E$111)</f>
        <v>1351797901.6561</v>
      </c>
      <c r="AH111">
        <v>299315347</v>
      </c>
      <c r="AI111">
        <v>1052482554.6561</v>
      </c>
      <c r="AJ111">
        <f t="shared" ref="AJ111" si="467">SUM($D$111+$E$111)</f>
        <v>1351797901.6561</v>
      </c>
      <c r="AK111">
        <v>299315347</v>
      </c>
      <c r="AL111">
        <v>1052482554.6561</v>
      </c>
      <c r="AM111">
        <f t="shared" ref="AM111" si="468">SUM($D$111+$E$111)</f>
        <v>1351797901.6561</v>
      </c>
      <c r="AO111" s="15"/>
    </row>
    <row r="112" spans="2:42">
      <c r="B112" s="2" t="s">
        <v>377</v>
      </c>
      <c r="C112" t="s">
        <v>375</v>
      </c>
      <c r="D112">
        <v>17739548</v>
      </c>
      <c r="E112">
        <v>7255475.1319999993</v>
      </c>
      <c r="F112">
        <f>SUM($D$112+$E$112)</f>
        <v>24995023.131999999</v>
      </c>
      <c r="G112">
        <v>17739548</v>
      </c>
      <c r="H112">
        <v>7255475.1319999993</v>
      </c>
      <c r="I112">
        <f t="shared" ref="I112" si="469">SUM($D$112+$E$112)</f>
        <v>24995023.131999999</v>
      </c>
      <c r="J112">
        <v>17739548</v>
      </c>
      <c r="K112">
        <v>7255475.1319999993</v>
      </c>
      <c r="L112">
        <f t="shared" ref="L112" si="470">SUM($D$112+$E$112)</f>
        <v>24995023.131999999</v>
      </c>
      <c r="M112">
        <v>17739548</v>
      </c>
      <c r="N112">
        <v>7255475.1319999993</v>
      </c>
      <c r="O112">
        <f t="shared" ref="O112" si="471">SUM($D$112+$E$112)</f>
        <v>24995023.131999999</v>
      </c>
      <c r="P112">
        <v>17739548</v>
      </c>
      <c r="Q112">
        <v>7255475.1319999993</v>
      </c>
      <c r="R112">
        <f t="shared" ref="R112" si="472">SUM($D$112+$E$112)</f>
        <v>24995023.131999999</v>
      </c>
      <c r="S112">
        <v>17739548</v>
      </c>
      <c r="T112">
        <v>7255475.1319999993</v>
      </c>
      <c r="U112">
        <f t="shared" ref="U112" si="473">SUM($D$112+$E$112)</f>
        <v>24995023.131999999</v>
      </c>
      <c r="V112">
        <v>17739548</v>
      </c>
      <c r="W112">
        <v>7255475.1319999993</v>
      </c>
      <c r="X112">
        <f t="shared" ref="X112" si="474">SUM($D$112+$E$112)</f>
        <v>24995023.131999999</v>
      </c>
      <c r="Y112">
        <v>17739548</v>
      </c>
      <c r="Z112">
        <v>7255475.1319999993</v>
      </c>
      <c r="AA112">
        <f t="shared" ref="AA112" si="475">SUM($D$112+$E$112)</f>
        <v>24995023.131999999</v>
      </c>
      <c r="AB112">
        <v>17739548</v>
      </c>
      <c r="AC112">
        <v>7255475.1319999993</v>
      </c>
      <c r="AD112">
        <f t="shared" ref="AD112" si="476">SUM($D$112+$E$112)</f>
        <v>24995023.131999999</v>
      </c>
      <c r="AE112">
        <v>17739548</v>
      </c>
      <c r="AF112">
        <v>7255475.1319999993</v>
      </c>
      <c r="AG112">
        <f t="shared" ref="AG112" si="477">SUM($D$112+$E$112)</f>
        <v>24995023.131999999</v>
      </c>
      <c r="AH112">
        <v>17739548</v>
      </c>
      <c r="AI112">
        <v>7255475.1319999993</v>
      </c>
      <c r="AJ112">
        <f t="shared" ref="AJ112" si="478">SUM($D$112+$E$112)</f>
        <v>24995023.131999999</v>
      </c>
      <c r="AK112">
        <v>17739548</v>
      </c>
      <c r="AL112">
        <v>7255475.1319999993</v>
      </c>
      <c r="AM112">
        <f t="shared" ref="AM112" si="479">SUM($D$112+$E$112)</f>
        <v>24995023.131999999</v>
      </c>
      <c r="AO112" s="15"/>
    </row>
    <row r="113" spans="2:2">
      <c r="B113" s="2"/>
    </row>
    <row r="115" spans="2:2">
      <c r="B115" s="1"/>
    </row>
  </sheetData>
  <conditionalFormatting sqref="AO3:AO112">
    <cfRule type="cellIs" dxfId="5" priority="2" operator="lessThan">
      <formula>0.1</formula>
    </cfRule>
    <cfRule type="cellIs" dxfId="4" priority="1" operator="greaterThan">
      <formula>2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:B3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5" t="s">
        <v>162</v>
      </c>
      <c r="B1" s="5" t="s">
        <v>163</v>
      </c>
    </row>
    <row r="2" spans="1:2" ht="21">
      <c r="A2" s="6" t="s">
        <v>372</v>
      </c>
      <c r="B2" s="7" t="s">
        <v>376</v>
      </c>
    </row>
    <row r="3" spans="1:2" ht="21">
      <c r="A3" s="8" t="s">
        <v>374</v>
      </c>
      <c r="B3" s="9" t="s">
        <v>377</v>
      </c>
    </row>
    <row r="4" spans="1:2" ht="21">
      <c r="A4" s="8"/>
      <c r="B4" s="9"/>
    </row>
    <row r="5" spans="1:2" ht="21">
      <c r="A5" s="8"/>
      <c r="B5" s="10"/>
    </row>
    <row r="6" spans="1:2" ht="21">
      <c r="A6" s="8"/>
      <c r="B6" s="9"/>
    </row>
    <row r="7" spans="1:2" ht="21">
      <c r="A7" s="8"/>
      <c r="B7" s="9"/>
    </row>
    <row r="8" spans="1:2" ht="21">
      <c r="A8" s="8"/>
      <c r="B8" s="10"/>
    </row>
    <row r="9" spans="1:2" ht="21">
      <c r="A9" s="8"/>
      <c r="B9" s="9"/>
    </row>
    <row r="10" spans="1:2" ht="21">
      <c r="A10" s="8"/>
      <c r="B10" s="9"/>
    </row>
    <row r="11" spans="1:2" ht="21">
      <c r="A11" s="11"/>
      <c r="B11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2" sqref="B2:B3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5" t="s">
        <v>164</v>
      </c>
      <c r="B1" s="5" t="s">
        <v>165</v>
      </c>
    </row>
    <row r="2" spans="1:21" ht="21">
      <c r="A2" s="6" t="s">
        <v>376</v>
      </c>
      <c r="B2" s="13">
        <v>1358415911.6561</v>
      </c>
      <c r="L2" s="4"/>
      <c r="O2" s="4"/>
      <c r="R2" s="4"/>
      <c r="U2" s="4"/>
    </row>
    <row r="3" spans="1:21" ht="21">
      <c r="A3" s="8" t="s">
        <v>377</v>
      </c>
      <c r="B3" s="10">
        <v>25773694.131999999</v>
      </c>
    </row>
    <row r="4" spans="1:21" ht="21">
      <c r="A4" s="8"/>
      <c r="B4" s="10"/>
    </row>
    <row r="5" spans="1:21" ht="21">
      <c r="A5" s="8"/>
      <c r="B5" s="10"/>
    </row>
    <row r="6" spans="1:21" ht="21">
      <c r="A6" s="8"/>
      <c r="B6" s="10"/>
    </row>
    <row r="7" spans="1:21" ht="21">
      <c r="A7" s="8"/>
      <c r="B7" s="10"/>
    </row>
    <row r="8" spans="1:21" ht="21">
      <c r="A8" s="8"/>
      <c r="B8" s="10"/>
    </row>
    <row r="9" spans="1:21" ht="21">
      <c r="A9" s="8"/>
      <c r="B9" s="10"/>
    </row>
    <row r="10" spans="1:21" ht="21">
      <c r="A10" s="8"/>
      <c r="B10" s="10"/>
    </row>
    <row r="11" spans="1:21" ht="21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P26"/>
  <sheetViews>
    <sheetView zoomScale="120" zoomScaleNormal="120" workbookViewId="0">
      <pane xSplit="1" topLeftCell="B1" activePane="topRight" state="frozen"/>
      <selection pane="topRight" activeCell="F13" sqref="F13"/>
    </sheetView>
  </sheetViews>
  <sheetFormatPr defaultRowHeight="26.25"/>
  <cols>
    <col min="1" max="1" width="12.7109375" style="17" bestFit="1" customWidth="1"/>
    <col min="2" max="2" width="29.42578125" style="17" bestFit="1" customWidth="1"/>
    <col min="3" max="3" width="34.7109375" style="17" bestFit="1" customWidth="1"/>
    <col min="4" max="4" width="31.5703125" style="17" bestFit="1" customWidth="1"/>
    <col min="5" max="5" width="15.7109375" style="17" bestFit="1" customWidth="1"/>
    <col min="6" max="6" width="36.7109375" style="17" bestFit="1" customWidth="1"/>
    <col min="7" max="7" width="16.5703125" style="17" bestFit="1" customWidth="1"/>
    <col min="8" max="8" width="15.7109375" style="17" bestFit="1" customWidth="1"/>
    <col min="9" max="9" width="36.7109375" style="17" bestFit="1" customWidth="1"/>
    <col min="10" max="10" width="16.5703125" style="17" bestFit="1" customWidth="1"/>
    <col min="11" max="11" width="13.7109375" style="17" bestFit="1" customWidth="1"/>
    <col min="12" max="12" width="36.7109375" style="17" bestFit="1" customWidth="1"/>
    <col min="13" max="13" width="16.5703125" style="17" bestFit="1" customWidth="1"/>
    <col min="14" max="14" width="4" style="17" customWidth="1"/>
    <col min="15" max="15" width="10.42578125" style="17" bestFit="1" customWidth="1"/>
    <col min="16" max="16" width="9.5703125" style="17" bestFit="1" customWidth="1"/>
    <col min="17" max="16384" width="9.140625" style="17"/>
  </cols>
  <sheetData>
    <row r="1" spans="1:16">
      <c r="B1" s="18" t="s">
        <v>176</v>
      </c>
      <c r="C1" s="19" t="s">
        <v>177</v>
      </c>
      <c r="D1" s="19" t="s">
        <v>178</v>
      </c>
      <c r="E1" s="20" t="s">
        <v>180</v>
      </c>
      <c r="F1" s="18" t="s">
        <v>179</v>
      </c>
      <c r="G1" s="20" t="s">
        <v>180</v>
      </c>
    </row>
    <row r="2" spans="1:16">
      <c r="A2" s="21">
        <v>45566</v>
      </c>
      <c r="B2" s="22">
        <v>8817782992</v>
      </c>
      <c r="C2" s="22">
        <v>45641176053.729271</v>
      </c>
      <c r="D2" s="22">
        <v>54458959045.729271</v>
      </c>
      <c r="E2" s="20"/>
      <c r="F2" s="23"/>
      <c r="G2" s="24"/>
    </row>
    <row r="3" spans="1:16">
      <c r="A3" s="25">
        <v>45599</v>
      </c>
      <c r="B3" s="26">
        <v>12251953579</v>
      </c>
      <c r="C3" s="26">
        <v>72412119703.697403</v>
      </c>
      <c r="D3" s="26">
        <v>84664073282.697403</v>
      </c>
      <c r="E3" s="27">
        <f>(D3/D2)-1</f>
        <v>0.554639948435387</v>
      </c>
      <c r="F3" s="26">
        <f>C23</f>
        <v>9367388175111</v>
      </c>
      <c r="G3" s="28"/>
    </row>
    <row r="4" spans="1:16">
      <c r="A4" s="25">
        <v>45627</v>
      </c>
      <c r="B4" s="26">
        <v>20311041254</v>
      </c>
      <c r="C4" s="26">
        <v>130331898314.60237</v>
      </c>
      <c r="D4" s="26">
        <v>150642939568.60236</v>
      </c>
      <c r="E4" s="27">
        <f>(D4/D3)-1</f>
        <v>0.77930181867813464</v>
      </c>
      <c r="F4" s="26">
        <f>F23</f>
        <v>14423683909608</v>
      </c>
      <c r="G4" s="28">
        <f>(F4/F3)-1</f>
        <v>0.53977647130408202</v>
      </c>
    </row>
    <row r="5" spans="1:16">
      <c r="A5" s="25">
        <v>45637</v>
      </c>
      <c r="B5" s="26">
        <v>27568617066</v>
      </c>
      <c r="C5" s="26">
        <v>176357359077.21179</v>
      </c>
      <c r="D5" s="26">
        <v>203925976143.21182</v>
      </c>
      <c r="E5" s="27">
        <f>(D5/D4)-1</f>
        <v>0.35370417443523472</v>
      </c>
      <c r="F5" s="26">
        <f>I23</f>
        <v>16807977610645</v>
      </c>
      <c r="G5" s="28">
        <f>(F5/F4)-1</f>
        <v>0.16530407321591123</v>
      </c>
      <c r="K5" s="29"/>
    </row>
    <row r="6" spans="1:16">
      <c r="A6" s="25">
        <v>45669</v>
      </c>
      <c r="B6" s="26">
        <v>50544502728</v>
      </c>
      <c r="C6" s="26">
        <v>365640508685.70178</v>
      </c>
      <c r="D6" s="26">
        <v>416185011413.7019</v>
      </c>
      <c r="E6" s="27">
        <f>(D6/D5)-1</f>
        <v>1.0408631567438285</v>
      </c>
      <c r="F6" s="26">
        <f>L23</f>
        <v>23131061313318</v>
      </c>
      <c r="G6" s="27">
        <f>(F6/F5)-1</f>
        <v>0.37619539061429963</v>
      </c>
      <c r="H6" s="30"/>
      <c r="K6" s="29"/>
    </row>
    <row r="7" spans="1:16" hidden="1">
      <c r="A7" s="31">
        <v>45669</v>
      </c>
      <c r="B7" s="32">
        <v>58613941306</v>
      </c>
      <c r="C7" s="32">
        <v>441775011147.23444</v>
      </c>
      <c r="D7" s="32">
        <v>500388952453.23456</v>
      </c>
      <c r="E7" s="33"/>
      <c r="F7" s="26">
        <f>L23</f>
        <v>23131061313318</v>
      </c>
      <c r="G7" s="28">
        <f>(F6/F5)-1</f>
        <v>0.37619539061429963</v>
      </c>
      <c r="H7" s="34"/>
      <c r="K7" s="29"/>
    </row>
    <row r="8" spans="1:16">
      <c r="A8" s="35" t="s">
        <v>201</v>
      </c>
      <c r="B8" s="36">
        <f>B6-B5</f>
        <v>22975885662</v>
      </c>
      <c r="C8" s="36">
        <f>C6-C5</f>
        <v>189283149608.48999</v>
      </c>
      <c r="D8" s="36">
        <f>D6-D5</f>
        <v>212259035270.49008</v>
      </c>
      <c r="E8" s="37"/>
      <c r="F8" s="36">
        <f>F6-F5</f>
        <v>6323083702673</v>
      </c>
      <c r="G8" s="38"/>
      <c r="H8" s="34"/>
    </row>
    <row r="9" spans="1:16" ht="391.5" customHeight="1"/>
    <row r="10" spans="1:16">
      <c r="B10" s="54">
        <v>45599</v>
      </c>
      <c r="C10" s="55"/>
      <c r="D10" s="56"/>
      <c r="E10" s="55">
        <v>45627</v>
      </c>
      <c r="F10" s="55"/>
      <c r="G10" s="56"/>
      <c r="H10" s="55">
        <v>45636</v>
      </c>
      <c r="I10" s="55"/>
      <c r="J10" s="56"/>
      <c r="K10" s="55">
        <v>45669</v>
      </c>
      <c r="L10" s="55"/>
      <c r="M10" s="56"/>
      <c r="N10" s="39"/>
      <c r="O10" s="57" t="s">
        <v>199</v>
      </c>
      <c r="P10" s="57"/>
    </row>
    <row r="11" spans="1:16">
      <c r="A11" s="40" t="s">
        <v>193</v>
      </c>
      <c r="B11" s="41" t="s">
        <v>194</v>
      </c>
      <c r="C11" s="42" t="s">
        <v>192</v>
      </c>
      <c r="D11" s="43" t="s">
        <v>195</v>
      </c>
      <c r="E11" s="42" t="s">
        <v>194</v>
      </c>
      <c r="F11" s="42" t="s">
        <v>192</v>
      </c>
      <c r="G11" s="43" t="s">
        <v>195</v>
      </c>
      <c r="H11" s="42" t="s">
        <v>194</v>
      </c>
      <c r="I11" s="42" t="s">
        <v>192</v>
      </c>
      <c r="J11" s="43" t="s">
        <v>195</v>
      </c>
      <c r="K11" s="42" t="s">
        <v>194</v>
      </c>
      <c r="L11" s="42" t="s">
        <v>192</v>
      </c>
      <c r="M11" s="43" t="s">
        <v>195</v>
      </c>
      <c r="O11" s="17" t="s">
        <v>194</v>
      </c>
      <c r="P11" s="17" t="s">
        <v>200</v>
      </c>
    </row>
    <row r="12" spans="1:16">
      <c r="A12" s="44" t="s">
        <v>181</v>
      </c>
      <c r="B12" s="45">
        <v>30</v>
      </c>
      <c r="C12" s="26">
        <v>1548603167792</v>
      </c>
      <c r="D12" s="46"/>
      <c r="E12" s="17">
        <v>30</v>
      </c>
      <c r="F12" s="26">
        <v>1502097804235</v>
      </c>
      <c r="G12" s="46"/>
      <c r="H12" s="17">
        <v>30</v>
      </c>
      <c r="I12" s="26">
        <v>1759290107250</v>
      </c>
      <c r="J12" s="46"/>
      <c r="K12" s="17">
        <v>30</v>
      </c>
      <c r="L12" s="26">
        <v>2221994435332</v>
      </c>
      <c r="M12" s="46"/>
      <c r="N12" s="47"/>
      <c r="O12" s="29">
        <f>(K12/H12)-1</f>
        <v>0</v>
      </c>
      <c r="P12" s="29"/>
    </row>
    <row r="13" spans="1:16">
      <c r="A13" s="44" t="s">
        <v>182</v>
      </c>
      <c r="B13" s="45">
        <v>250</v>
      </c>
      <c r="C13" s="26">
        <v>208697426935</v>
      </c>
      <c r="D13" s="46"/>
      <c r="E13" s="17">
        <v>250</v>
      </c>
      <c r="F13" s="26">
        <v>206167253798</v>
      </c>
      <c r="G13" s="46"/>
      <c r="H13" s="17">
        <v>250</v>
      </c>
      <c r="I13" s="26">
        <v>125932215358</v>
      </c>
      <c r="J13" s="46"/>
      <c r="K13" s="17">
        <v>250</v>
      </c>
      <c r="L13" s="26">
        <v>306750926247</v>
      </c>
      <c r="M13" s="46"/>
      <c r="N13" s="47"/>
      <c r="O13" s="29">
        <f t="shared" ref="O13:O21" si="0">(K13/H13)-1</f>
        <v>0</v>
      </c>
      <c r="P13" s="29"/>
    </row>
    <row r="14" spans="1:16">
      <c r="A14" s="44" t="s">
        <v>190</v>
      </c>
      <c r="B14" s="45">
        <v>0</v>
      </c>
      <c r="C14" s="26">
        <v>0</v>
      </c>
      <c r="D14" s="46">
        <v>0</v>
      </c>
      <c r="E14" s="17">
        <v>12</v>
      </c>
      <c r="F14" s="26">
        <v>1118898900974</v>
      </c>
      <c r="G14" s="46">
        <v>28.32</v>
      </c>
      <c r="H14" s="17">
        <v>12</v>
      </c>
      <c r="I14" s="26">
        <v>1702738907169</v>
      </c>
      <c r="J14" s="46">
        <f>H14*2.17</f>
        <v>26.04</v>
      </c>
      <c r="K14" s="17">
        <v>12</v>
      </c>
      <c r="L14" s="26">
        <v>2726215768426</v>
      </c>
      <c r="M14" s="46">
        <f>K14*2.52</f>
        <v>30.240000000000002</v>
      </c>
      <c r="N14" s="47"/>
      <c r="O14" s="29">
        <f t="shared" ref="O14" si="1">(K14/H14)-1</f>
        <v>0</v>
      </c>
      <c r="P14" s="29">
        <f>(M14/J14)-1</f>
        <v>0.16129032258064524</v>
      </c>
    </row>
    <row r="15" spans="1:16">
      <c r="A15" s="44" t="s">
        <v>183</v>
      </c>
      <c r="B15" s="45">
        <v>80</v>
      </c>
      <c r="C15" s="26">
        <v>1297662855427</v>
      </c>
      <c r="D15" s="46">
        <v>13.600000000000001</v>
      </c>
      <c r="E15" s="17">
        <v>80</v>
      </c>
      <c r="F15" s="26">
        <v>1302568301015</v>
      </c>
      <c r="G15" s="46">
        <v>16.8</v>
      </c>
      <c r="H15" s="17">
        <v>80</v>
      </c>
      <c r="I15" s="26">
        <v>1634983755968</v>
      </c>
      <c r="J15" s="46">
        <f>H15*0.26</f>
        <v>20.8</v>
      </c>
      <c r="K15" s="17">
        <v>75</v>
      </c>
      <c r="L15" s="26">
        <v>2205346731062</v>
      </c>
      <c r="M15" s="46">
        <f>K15*0.23</f>
        <v>17.25</v>
      </c>
      <c r="N15" s="47"/>
      <c r="O15" s="29">
        <f t="shared" si="0"/>
        <v>-6.25E-2</v>
      </c>
      <c r="P15" s="29">
        <f>(M15/J15)-1</f>
        <v>-0.17067307692307698</v>
      </c>
    </row>
    <row r="16" spans="1:16">
      <c r="A16" s="44" t="s">
        <v>184</v>
      </c>
      <c r="B16" s="45">
        <v>130</v>
      </c>
      <c r="C16" s="26">
        <v>2047287373871</v>
      </c>
      <c r="D16" s="46">
        <v>19.5</v>
      </c>
      <c r="E16" s="17">
        <v>60</v>
      </c>
      <c r="F16" s="26">
        <v>2012167325881</v>
      </c>
      <c r="G16" s="46">
        <v>25.2</v>
      </c>
      <c r="H16" s="17">
        <v>50</v>
      </c>
      <c r="I16" s="26">
        <v>1772464005566</v>
      </c>
      <c r="J16" s="46">
        <f>H16*0.4</f>
        <v>20</v>
      </c>
      <c r="K16" s="17">
        <v>54</v>
      </c>
      <c r="L16" s="26">
        <v>2253461445694</v>
      </c>
      <c r="M16" s="46">
        <f>K16*0.34</f>
        <v>18.360000000000003</v>
      </c>
      <c r="N16" s="47"/>
      <c r="O16" s="29">
        <f t="shared" si="0"/>
        <v>8.0000000000000071E-2</v>
      </c>
      <c r="P16" s="29">
        <f t="shared" ref="P16:P22" si="2">(M16/J16)-1</f>
        <v>-8.1999999999999851E-2</v>
      </c>
    </row>
    <row r="17" spans="1:16">
      <c r="A17" s="44" t="s">
        <v>185</v>
      </c>
      <c r="B17" s="45">
        <v>2.0000000000000001E-4</v>
      </c>
      <c r="C17" s="26">
        <v>12085680872</v>
      </c>
      <c r="D17" s="46">
        <v>13.746352</v>
      </c>
      <c r="E17" s="17">
        <v>2.2000000000000001E-4</v>
      </c>
      <c r="F17" s="26">
        <v>1704527581437</v>
      </c>
      <c r="G17" s="46">
        <v>21.222341800000002</v>
      </c>
      <c r="H17" s="17">
        <v>2.2000000000000001E-4</v>
      </c>
      <c r="I17" s="26">
        <v>1825404392412</v>
      </c>
      <c r="J17" s="46">
        <f>H17*97077.3</f>
        <v>21.357006000000002</v>
      </c>
      <c r="K17" s="17">
        <v>2.0000000000000001E-4</v>
      </c>
      <c r="L17" s="26">
        <v>2330547934306</v>
      </c>
      <c r="M17" s="46">
        <f>K17*94368.95</f>
        <v>18.87379</v>
      </c>
      <c r="N17" s="47"/>
      <c r="O17" s="29">
        <f t="shared" si="0"/>
        <v>-9.0909090909090939E-2</v>
      </c>
      <c r="P17" s="29">
        <f t="shared" si="2"/>
        <v>-0.11627172834993826</v>
      </c>
    </row>
    <row r="18" spans="1:16">
      <c r="A18" s="44" t="s">
        <v>186</v>
      </c>
      <c r="B18" s="45">
        <v>1.8E-3</v>
      </c>
      <c r="C18" s="26">
        <v>479952872411</v>
      </c>
      <c r="D18" s="46">
        <v>4.4214120000000001</v>
      </c>
      <c r="E18" s="17">
        <v>6.0000000000000001E-3</v>
      </c>
      <c r="F18" s="26">
        <v>1720775968166</v>
      </c>
      <c r="G18" s="46">
        <v>22.238040000000002</v>
      </c>
      <c r="H18" s="17">
        <v>6.0000000000000001E-3</v>
      </c>
      <c r="I18" s="26">
        <v>1622701741665</v>
      </c>
      <c r="J18" s="46">
        <f>H18*3709.17</f>
        <v>22.255020000000002</v>
      </c>
      <c r="K18" s="17">
        <v>5.4999999999999997E-3</v>
      </c>
      <c r="L18" s="26">
        <v>2280837794775</v>
      </c>
      <c r="M18" s="46">
        <f>K18*3266.09</f>
        <v>17.963494999999998</v>
      </c>
      <c r="N18" s="47"/>
      <c r="O18" s="29">
        <f t="shared" si="0"/>
        <v>-8.333333333333337E-2</v>
      </c>
      <c r="P18" s="29">
        <f t="shared" si="2"/>
        <v>-0.19283402126801064</v>
      </c>
    </row>
    <row r="19" spans="1:16">
      <c r="A19" s="44" t="s">
        <v>187</v>
      </c>
      <c r="B19" s="45">
        <v>2.8000000000000001E-2</v>
      </c>
      <c r="C19" s="26">
        <v>1223789587623</v>
      </c>
      <c r="D19" s="46">
        <v>15.62372</v>
      </c>
      <c r="E19" s="17">
        <v>2.5000000000000001E-2</v>
      </c>
      <c r="F19" s="26">
        <v>1247222939191</v>
      </c>
      <c r="G19" s="46">
        <v>16.365000000000002</v>
      </c>
      <c r="H19" s="17">
        <v>2.5999999999999999E-2</v>
      </c>
      <c r="I19" s="26">
        <v>1418667829635</v>
      </c>
      <c r="J19" s="46">
        <f>H19*691.86</f>
        <v>17.98836</v>
      </c>
      <c r="K19" s="17">
        <v>2.5000000000000001E-2</v>
      </c>
      <c r="L19" s="26">
        <v>2298815415687</v>
      </c>
      <c r="M19" s="46">
        <f>K19*693.25</f>
        <v>17.331250000000001</v>
      </c>
      <c r="N19" s="47"/>
      <c r="O19" s="29">
        <f t="shared" si="0"/>
        <v>-3.8461538461538325E-2</v>
      </c>
      <c r="P19" s="29">
        <f t="shared" si="2"/>
        <v>-3.6529733672219122E-2</v>
      </c>
    </row>
    <row r="20" spans="1:16">
      <c r="A20" s="44" t="s">
        <v>188</v>
      </c>
      <c r="B20" s="45">
        <v>9</v>
      </c>
      <c r="C20" s="26">
        <v>435521914006</v>
      </c>
      <c r="D20" s="46">
        <v>2.61</v>
      </c>
      <c r="E20" s="17">
        <v>35</v>
      </c>
      <c r="F20" s="26">
        <v>1042715534192</v>
      </c>
      <c r="G20" s="46">
        <v>21</v>
      </c>
      <c r="H20" s="17">
        <v>32</v>
      </c>
      <c r="I20" s="26">
        <v>1442402830997</v>
      </c>
      <c r="J20" s="46">
        <f>H20*0.58</f>
        <v>18.559999999999999</v>
      </c>
      <c r="K20" s="17">
        <v>35</v>
      </c>
      <c r="L20" s="26">
        <v>1973976180061</v>
      </c>
      <c r="M20" s="46">
        <f>K20*0.45</f>
        <v>15.75</v>
      </c>
      <c r="N20" s="47"/>
      <c r="O20" s="29">
        <f t="shared" si="0"/>
        <v>9.375E-2</v>
      </c>
      <c r="P20" s="29">
        <f t="shared" si="2"/>
        <v>-0.15140086206896541</v>
      </c>
    </row>
    <row r="21" spans="1:16">
      <c r="A21" s="44" t="s">
        <v>189</v>
      </c>
      <c r="B21" s="45">
        <v>0.08</v>
      </c>
      <c r="C21" s="26">
        <v>1087209850989</v>
      </c>
      <c r="D21" s="46">
        <v>12.9968</v>
      </c>
      <c r="E21" s="17">
        <v>0.08</v>
      </c>
      <c r="F21" s="26">
        <v>1052273875232</v>
      </c>
      <c r="G21" s="46">
        <v>19.0184</v>
      </c>
      <c r="H21" s="17">
        <v>0.1</v>
      </c>
      <c r="I21" s="26">
        <v>1574349133827</v>
      </c>
      <c r="J21" s="46">
        <f>H21*213.75</f>
        <v>21.375</v>
      </c>
      <c r="K21" s="17">
        <v>0.11</v>
      </c>
      <c r="L21" s="26">
        <v>2026932602116</v>
      </c>
      <c r="M21" s="46">
        <f>K21*188.3</f>
        <v>20.713000000000001</v>
      </c>
      <c r="N21" s="47"/>
      <c r="O21" s="29">
        <f t="shared" si="0"/>
        <v>9.9999999999999867E-2</v>
      </c>
      <c r="P21" s="29">
        <f t="shared" si="2"/>
        <v>-3.0970760233918093E-2</v>
      </c>
    </row>
    <row r="22" spans="1:16">
      <c r="A22" s="44" t="s">
        <v>191</v>
      </c>
      <c r="B22" s="45">
        <v>0.24</v>
      </c>
      <c r="C22" s="26">
        <v>1026577445185</v>
      </c>
      <c r="D22" s="46">
        <v>16.041599999999999</v>
      </c>
      <c r="E22" s="17">
        <v>0.3</v>
      </c>
      <c r="F22" s="26">
        <v>1514268425487</v>
      </c>
      <c r="G22" s="46">
        <v>30.839999999999996</v>
      </c>
      <c r="H22" s="17">
        <v>0.3</v>
      </c>
      <c r="I22" s="26">
        <v>1929042690798</v>
      </c>
      <c r="J22" s="46">
        <f>H22*109.91</f>
        <v>32.972999999999999</v>
      </c>
      <c r="K22" s="17">
        <v>0.28000000000000003</v>
      </c>
      <c r="L22" s="26">
        <v>2506182079612</v>
      </c>
      <c r="M22" s="46">
        <f>K22*102.45</f>
        <v>28.686000000000003</v>
      </c>
      <c r="N22" s="47"/>
      <c r="O22" s="29">
        <f>(K22/H22)-1</f>
        <v>-6.6666666666666541E-2</v>
      </c>
      <c r="P22" s="29">
        <f t="shared" si="2"/>
        <v>-0.13001546720043655</v>
      </c>
    </row>
    <row r="23" spans="1:16">
      <c r="A23" s="40" t="s">
        <v>196</v>
      </c>
      <c r="B23" s="48"/>
      <c r="C23" s="36">
        <f>SUM(C12:C22)</f>
        <v>9367388175111</v>
      </c>
      <c r="D23" s="49">
        <f>SUM(D14:D22)</f>
        <v>98.539884000000015</v>
      </c>
      <c r="E23" s="50"/>
      <c r="F23" s="36">
        <f>SUM(F12:F22)</f>
        <v>14423683909608</v>
      </c>
      <c r="G23" s="49">
        <f>SUM(G14:G22)</f>
        <v>201.00378179999998</v>
      </c>
      <c r="H23" s="50"/>
      <c r="I23" s="36">
        <f>SUM(I12:I22)</f>
        <v>16807977610645</v>
      </c>
      <c r="J23" s="49">
        <f>SUM(J14:J22)</f>
        <v>201.348386</v>
      </c>
      <c r="K23" s="50"/>
      <c r="L23" s="36">
        <f>SUM(L12:L22)</f>
        <v>23131061313318</v>
      </c>
      <c r="M23" s="49">
        <f>SUM(M14:M22)</f>
        <v>185.16753499999999</v>
      </c>
      <c r="N23" s="47"/>
      <c r="O23" s="51">
        <f>AVERAGE(O12:O22)</f>
        <v>-6.1927844882390219E-3</v>
      </c>
      <c r="P23" s="52">
        <f>(M23/J23)-1</f>
        <v>-8.0362456940678006E-2</v>
      </c>
    </row>
    <row r="26" spans="1:16">
      <c r="J26" s="53"/>
    </row>
  </sheetData>
  <mergeCells count="5">
    <mergeCell ref="B10:D10"/>
    <mergeCell ref="H10:J10"/>
    <mergeCell ref="O10:P10"/>
    <mergeCell ref="K10:M10"/>
    <mergeCell ref="E10:G10"/>
  </mergeCells>
  <conditionalFormatting sqref="O12:O23">
    <cfRule type="cellIs" dxfId="3" priority="5" operator="lessThan">
      <formula>0</formula>
    </cfRule>
    <cfRule type="cellIs" dxfId="2" priority="6" operator="greaterThan">
      <formula>0</formula>
    </cfRule>
  </conditionalFormatting>
  <conditionalFormatting sqref="P12:P23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2025-01-13T01:38:13Z</dcterms:modified>
</cp:coreProperties>
</file>